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7" i="12"/>
  <c r="C16" i="12"/>
  <c r="C24" i="12"/>
  <c r="B36" i="12" l="1"/>
  <c r="C35" i="12"/>
  <c r="C34" i="12"/>
  <c r="C33" i="12"/>
  <c r="C32" i="12"/>
  <c r="C31" i="12"/>
  <c r="C30" i="12"/>
  <c r="C29" i="12"/>
  <c r="C28" i="12"/>
  <c r="C36" i="12"/>
  <c r="B48" i="12" l="1"/>
  <c r="C47" i="12"/>
  <c r="C46" i="12"/>
  <c r="C45" i="12"/>
  <c r="C44" i="12"/>
  <c r="C43" i="12"/>
  <c r="C42" i="12"/>
  <c r="C40" i="12"/>
  <c r="C41" i="12"/>
  <c r="C48" i="12"/>
  <c r="B60" i="12" l="1"/>
  <c r="C59" i="12"/>
  <c r="C58" i="12"/>
  <c r="C57" i="12"/>
  <c r="C56" i="12"/>
  <c r="C55" i="12"/>
  <c r="C54" i="12"/>
  <c r="B72" i="12"/>
  <c r="C71" i="12"/>
  <c r="C70" i="12"/>
  <c r="C69" i="12"/>
  <c r="C68" i="12"/>
  <c r="C67" i="12"/>
  <c r="B84" i="12"/>
  <c r="C83" i="12"/>
  <c r="C82" i="12"/>
  <c r="C81" i="12"/>
  <c r="C80" i="12"/>
  <c r="C65" i="12"/>
  <c r="C72" i="12"/>
  <c r="C60" i="12"/>
  <c r="C84" i="12"/>
  <c r="C53" i="12"/>
  <c r="C77" i="12"/>
  <c r="C64" i="12"/>
  <c r="C78" i="12"/>
  <c r="C79" i="12"/>
  <c r="C66" i="12"/>
  <c r="C76" i="12"/>
  <c r="C52" i="12"/>
  <c r="B12" i="10" l="1"/>
  <c r="C11" i="10"/>
  <c r="C10" i="10"/>
  <c r="C9" i="10"/>
  <c r="C8" i="10"/>
  <c r="C7" i="10"/>
  <c r="C6" i="10"/>
  <c r="B24" i="10"/>
  <c r="C23" i="10"/>
  <c r="C22" i="10"/>
  <c r="C21" i="10"/>
  <c r="C20" i="10"/>
  <c r="C19" i="10"/>
  <c r="C18" i="10"/>
  <c r="C17" i="10"/>
  <c r="B36" i="10"/>
  <c r="C35" i="10"/>
  <c r="C34" i="10"/>
  <c r="C33" i="10"/>
  <c r="C32" i="10"/>
  <c r="C31" i="10"/>
  <c r="B48" i="10"/>
  <c r="C47" i="10"/>
  <c r="C46" i="10"/>
  <c r="C45" i="10"/>
  <c r="C44" i="10"/>
  <c r="C43" i="10"/>
  <c r="C42" i="10"/>
  <c r="C41" i="10"/>
  <c r="B60" i="10"/>
  <c r="C59" i="10"/>
  <c r="C58" i="10"/>
  <c r="C57" i="10"/>
  <c r="C56" i="10"/>
  <c r="C55" i="10"/>
  <c r="B72" i="10"/>
  <c r="C71" i="10"/>
  <c r="C70" i="10"/>
  <c r="C69" i="10"/>
  <c r="C68" i="10"/>
  <c r="C67" i="10"/>
  <c r="C66" i="10"/>
  <c r="B84" i="10"/>
  <c r="C83" i="10"/>
  <c r="C82" i="10"/>
  <c r="C81" i="10"/>
  <c r="C80" i="10"/>
  <c r="C79" i="10"/>
  <c r="C78" i="10"/>
  <c r="C53" i="10"/>
  <c r="C24" i="10"/>
  <c r="C76" i="10"/>
  <c r="C36" i="10"/>
  <c r="C5" i="10"/>
  <c r="C28" i="10"/>
  <c r="C30" i="10"/>
  <c r="C16" i="10"/>
  <c r="C12" i="10"/>
  <c r="C40" i="10"/>
  <c r="C77" i="10"/>
  <c r="C60" i="10"/>
  <c r="C52" i="10"/>
  <c r="C84" i="10"/>
  <c r="C72" i="10"/>
  <c r="C29" i="10"/>
  <c r="C4" i="10"/>
  <c r="C54" i="10"/>
  <c r="C48" i="10"/>
  <c r="B96" i="12" l="1"/>
  <c r="C95" i="12"/>
  <c r="C94" i="12"/>
  <c r="C93" i="12"/>
  <c r="C92" i="12"/>
  <c r="C91" i="12"/>
  <c r="B108" i="12"/>
  <c r="C107" i="12"/>
  <c r="C106" i="12"/>
  <c r="C105" i="12"/>
  <c r="C104" i="12"/>
  <c r="C103" i="12"/>
  <c r="C102" i="12"/>
  <c r="C90" i="12"/>
  <c r="C100" i="12"/>
  <c r="C96" i="12"/>
  <c r="C108" i="12"/>
  <c r="C88" i="12"/>
  <c r="C101" i="12"/>
  <c r="C89" i="12"/>
  <c r="B120" i="12" l="1"/>
  <c r="C119" i="12"/>
  <c r="C118" i="12"/>
  <c r="C117" i="12"/>
  <c r="C116" i="12"/>
  <c r="C115" i="12"/>
  <c r="C114" i="12"/>
  <c r="C112" i="12"/>
  <c r="C113" i="12"/>
  <c r="C120" i="12"/>
  <c r="B132" i="12" l="1"/>
  <c r="C131" i="12"/>
  <c r="C130" i="12"/>
  <c r="C129" i="12"/>
  <c r="C128" i="12"/>
  <c r="C125" i="12"/>
  <c r="C132" i="12"/>
  <c r="C127" i="12"/>
  <c r="C126" i="12"/>
  <c r="C124"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127" i="10"/>
  <c r="C89" i="10"/>
  <c r="C120" i="10"/>
  <c r="C96" i="10"/>
  <c r="C108" i="10"/>
  <c r="C132" i="10"/>
  <c r="C113" i="10"/>
  <c r="C112" i="10"/>
  <c r="C88" i="10"/>
  <c r="C124" i="10"/>
  <c r="C125" i="10"/>
  <c r="C114" i="10"/>
  <c r="C126" i="10"/>
  <c r="C100" i="10"/>
  <c r="B144" i="12" l="1"/>
  <c r="C143" i="12"/>
  <c r="C142" i="12"/>
  <c r="C141" i="12"/>
  <c r="C140" i="12"/>
  <c r="C139" i="12"/>
  <c r="C138" i="12"/>
  <c r="B156" i="12"/>
  <c r="C155" i="12"/>
  <c r="C154" i="12"/>
  <c r="C153" i="12"/>
  <c r="B144" i="10"/>
  <c r="C143" i="10"/>
  <c r="C142" i="10"/>
  <c r="C141" i="10"/>
  <c r="C140" i="10"/>
  <c r="C139" i="10"/>
  <c r="C138" i="10"/>
  <c r="B156" i="10"/>
  <c r="C155" i="10"/>
  <c r="C154" i="10"/>
  <c r="C153" i="10"/>
  <c r="C152" i="10"/>
  <c r="C136" i="12"/>
  <c r="C148" i="10"/>
  <c r="C137" i="12"/>
  <c r="C152" i="12"/>
  <c r="C149" i="12"/>
  <c r="C156" i="10"/>
  <c r="C150" i="12"/>
  <c r="C149" i="10"/>
  <c r="C144" i="12"/>
  <c r="C156" i="12"/>
  <c r="C150" i="10"/>
  <c r="C151" i="10"/>
  <c r="C148" i="12"/>
  <c r="C144" i="10"/>
  <c r="C151" i="12"/>
  <c r="C10" i="15" l="1"/>
  <c r="C9" i="15"/>
  <c r="C8" i="15"/>
  <c r="C7" i="15"/>
  <c r="C6" i="15"/>
  <c r="C5" i="15"/>
  <c r="C4" i="15"/>
  <c r="C3" i="15"/>
  <c r="B11" i="15"/>
  <c r="C10" i="16"/>
  <c r="C9" i="16"/>
  <c r="C8" i="16"/>
  <c r="C7" i="16"/>
  <c r="C6" i="16"/>
  <c r="C5" i="16"/>
  <c r="C4" i="16"/>
  <c r="C3" i="16"/>
  <c r="B11" i="16"/>
  <c r="D69" i="1"/>
  <c r="D66" i="1"/>
  <c r="D76" i="1"/>
  <c r="D36" i="1"/>
  <c r="D15" i="1"/>
  <c r="D25" i="1"/>
  <c r="D24" i="1"/>
  <c r="D38" i="1"/>
  <c r="D58" i="1"/>
  <c r="D85" i="1"/>
  <c r="D77" i="1"/>
  <c r="D53" i="1"/>
  <c r="D83" i="1"/>
  <c r="D64" i="1"/>
  <c r="D70" i="1"/>
  <c r="D35" i="1"/>
  <c r="D34" i="1"/>
  <c r="D82" i="1"/>
  <c r="D62" i="1"/>
  <c r="D30" i="1"/>
  <c r="D31" i="1"/>
  <c r="D41" i="1"/>
  <c r="D45" i="1"/>
  <c r="D81" i="1"/>
  <c r="D74" i="1"/>
  <c r="D67" i="1"/>
  <c r="D94" i="1"/>
  <c r="D28" i="1"/>
  <c r="D16" i="1"/>
  <c r="D44" i="1"/>
  <c r="D46" i="1"/>
  <c r="C11" i="15"/>
  <c r="D71" i="1"/>
  <c r="D20" i="1"/>
  <c r="D43" i="1"/>
  <c r="D89" i="1"/>
  <c r="D52" i="1"/>
  <c r="D48" i="1"/>
  <c r="D93" i="1"/>
  <c r="D54" i="1"/>
  <c r="D73" i="1"/>
  <c r="D56" i="1"/>
  <c r="D29" i="1"/>
  <c r="D57" i="1"/>
  <c r="D27" i="1"/>
  <c r="D68" i="1"/>
  <c r="D21" i="1"/>
  <c r="D49" i="1"/>
  <c r="D19" i="1"/>
  <c r="D88" i="1"/>
  <c r="D87" i="1"/>
  <c r="D91" i="1"/>
  <c r="D47" i="1"/>
  <c r="D86" i="1"/>
  <c r="D17" i="1"/>
  <c r="D63" i="1"/>
  <c r="D55" i="1"/>
  <c r="D32" i="1"/>
  <c r="D33" i="1"/>
  <c r="D40" i="1"/>
  <c r="D65" i="1"/>
  <c r="D84" i="1"/>
  <c r="D18" i="1"/>
  <c r="D59" i="1"/>
  <c r="C11" i="16"/>
  <c r="D61" i="1"/>
  <c r="D78" i="1"/>
  <c r="D50" i="1"/>
  <c r="D80" i="1"/>
  <c r="D72" i="1"/>
  <c r="D22" i="1"/>
  <c r="D90" i="1"/>
  <c r="D42" i="1"/>
  <c r="D39" i="1"/>
  <c r="D92" i="1"/>
  <c r="D75" i="1"/>
  <c r="D60" i="1"/>
  <c r="D79" i="1"/>
  <c r="D26" i="1"/>
  <c r="D51" i="1"/>
  <c r="D37" i="1"/>
  <c r="D23"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<sst xmlns="http://schemas.openxmlformats.org/spreadsheetml/2006/main" count="690" uniqueCount="141">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</sst>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1" xfId="1" applyFont="1" applyFill="1" applyBorder="1" applyAlignment="1" applyProtection="1">
      <alignment horizontal="center" vertical="center" wrapText="1"/>
      <protection locked="0"/>
    </xf>
  </cellXfs>
  <cellStyles count="2">
    <cellStyle name="Lien hypertexte" xfId="1" builtinId="8"/>
    <cellStyle name="Normal" xfId="0" builtinId="0" customBuiltin="1"/>
  </cellStyles>
  <dxfs count="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7" t="s">
        <v>30</v>
      </c>
      <c r="C35" s="197"/>
      <c r="D35" s="197"/>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8" t="s">
        <v>31</v>
      </c>
      <c r="C37" s="198"/>
      <c r="D37" s="198"/>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OT99"/>
  <sheetViews>
    <sheetView showGridLines="0" topLeftCell="A10" zoomScale="70" zoomScaleNormal="70" zoomScaleSheetLayoutView="10" zoomScalePageLayoutView="10" workbookViewId="0">
      <selection activeCell="U24" sqref="U2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086" ht="35.1" customHeight="1">
      <c r="B1" s="94"/>
      <c r="C1" s="229" t="s">
        <v>29</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08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08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08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08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08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086" ht="20.100000000000001" customHeight="1" thickBot="1">
      <c r="B7" s="95"/>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08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086" ht="30" customHeight="1">
      <c r="B9" s="95"/>
      <c r="C9" s="12" t="s">
        <v>16</v>
      </c>
      <c r="D9" s="140"/>
      <c r="E9" s="13" t="s">
        <v>20</v>
      </c>
      <c r="F9" s="14"/>
      <c r="G9" s="225" t="str">
        <f>E96</f>
        <v>21h15min</v>
      </c>
      <c r="H9" s="225"/>
      <c r="I9" s="225"/>
      <c r="J9" s="225"/>
      <c r="K9" s="225"/>
      <c r="L9" s="225"/>
      <c r="M9" s="225"/>
      <c r="N9" s="225"/>
      <c r="O9" s="225"/>
      <c r="P9" s="225"/>
      <c r="Q9" s="225"/>
      <c r="R9" s="225"/>
      <c r="S9" s="225"/>
      <c r="T9" s="225"/>
      <c r="U9" s="225"/>
      <c r="V9" s="118"/>
      <c r="W9" s="224" t="s">
        <v>21</v>
      </c>
      <c r="X9" s="224"/>
      <c r="Y9" s="224"/>
      <c r="Z9" s="224"/>
      <c r="AA9" s="224"/>
      <c r="AB9" s="224"/>
      <c r="AC9" s="224"/>
      <c r="AD9" s="224"/>
      <c r="AE9" s="224"/>
      <c r="AF9" s="224"/>
      <c r="AG9" s="224"/>
      <c r="AH9" s="225" t="str">
        <f>E98</f>
        <v>19h15min</v>
      </c>
      <c r="AI9" s="225"/>
      <c r="AJ9" s="225"/>
      <c r="AK9" s="225"/>
      <c r="AL9" s="225"/>
      <c r="AM9" s="225"/>
      <c r="AN9" s="225"/>
      <c r="AO9" s="225"/>
      <c r="AP9" s="225"/>
      <c r="AQ9" s="225"/>
      <c r="AR9" s="225"/>
      <c r="AS9" s="225"/>
      <c r="AT9" s="225"/>
      <c r="AU9" s="225"/>
      <c r="AV9" s="225"/>
      <c r="AW9" s="225"/>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08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1"/>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89"/>
    </row>
    <row r="11" spans="1:1086" ht="20.100000000000001" customHeight="1">
      <c r="B11" s="95"/>
      <c r="C11" s="227"/>
      <c r="D11" s="227"/>
      <c r="E11" s="227"/>
      <c r="F11" s="223" t="s">
        <v>71</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t="s">
        <v>71</v>
      </c>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00" t="s">
        <v>97</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97</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104</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104</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89"/>
    </row>
    <row r="12" spans="1:1086" ht="15.75" customHeight="1" thickBot="1">
      <c r="B12" s="96"/>
      <c r="C12" s="228"/>
      <c r="D12" s="228"/>
      <c r="E12" s="228"/>
      <c r="F12" s="222" t="s">
        <v>74</v>
      </c>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t="s">
        <v>75</v>
      </c>
      <c r="BO12" s="222"/>
      <c r="BP12" s="222"/>
      <c r="BQ12" s="222"/>
      <c r="BR12" s="222"/>
      <c r="BS12" s="222"/>
      <c r="BT12" s="222"/>
      <c r="BU12" s="222"/>
      <c r="BV12" s="222"/>
      <c r="BW12" s="222"/>
      <c r="BX12" s="222"/>
      <c r="BY12" s="222"/>
      <c r="BZ12" s="222"/>
      <c r="CA12" s="222"/>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c r="DP12" s="222"/>
      <c r="DQ12" s="222"/>
      <c r="DR12" s="222"/>
      <c r="DS12" s="222"/>
      <c r="DT12" s="222"/>
      <c r="DU12" s="222"/>
      <c r="DV12" s="201" t="s">
        <v>86</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91</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86</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91</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89"/>
    </row>
    <row r="13" spans="1:1086" ht="42.75" customHeight="1" thickBot="1">
      <c r="B13" s="95"/>
      <c r="C13" s="218" t="s">
        <v>6</v>
      </c>
      <c r="D13" s="143"/>
      <c r="E13" s="220" t="s">
        <v>37</v>
      </c>
      <c r="F13" s="202" t="s">
        <v>7</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26</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17</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43</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42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41</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40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39</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49</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48</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47</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46</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45</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44</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67</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11</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11</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11</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89"/>
    </row>
    <row r="14" spans="1:1086" ht="12.75" customHeight="1" thickBot="1">
      <c r="B14" s="95"/>
      <c r="C14" s="219"/>
      <c r="D14" s="144"/>
      <c r="E14" s="221"/>
      <c r="F14" s="102"/>
      <c r="G14" s="103"/>
      <c r="H14" s="103"/>
      <c r="I14" s="103"/>
      <c r="J14" s="205" t="s">
        <v>32</v>
      </c>
      <c r="K14" s="205"/>
      <c r="L14" s="205"/>
      <c r="M14" s="205"/>
      <c r="N14" s="103"/>
      <c r="O14" s="103"/>
      <c r="P14" s="206" t="s">
        <v>22</v>
      </c>
      <c r="Q14" s="206"/>
      <c r="R14" s="206"/>
      <c r="S14" s="206"/>
      <c r="T14" s="128"/>
      <c r="U14" s="128"/>
      <c r="V14" s="205" t="s">
        <v>33</v>
      </c>
      <c r="W14" s="205"/>
      <c r="X14" s="205"/>
      <c r="Y14" s="205"/>
      <c r="Z14" s="103"/>
      <c r="AA14" s="103"/>
      <c r="AB14" s="206" t="s">
        <v>23</v>
      </c>
      <c r="AC14" s="206"/>
      <c r="AD14" s="206"/>
      <c r="AE14" s="206"/>
      <c r="AF14" s="128"/>
      <c r="AG14" s="128"/>
      <c r="AH14" s="205" t="s">
        <v>34</v>
      </c>
      <c r="AI14" s="205"/>
      <c r="AJ14" s="205"/>
      <c r="AK14" s="205"/>
      <c r="AL14" s="103"/>
      <c r="AM14" s="103"/>
      <c r="AN14" s="206" t="s">
        <v>24</v>
      </c>
      <c r="AO14" s="206"/>
      <c r="AP14" s="206"/>
      <c r="AQ14" s="206"/>
      <c r="AR14" s="128"/>
      <c r="AS14" s="128"/>
      <c r="AT14" s="205" t="s">
        <v>35</v>
      </c>
      <c r="AU14" s="205"/>
      <c r="AV14" s="205"/>
      <c r="AW14" s="205"/>
      <c r="AX14" s="103"/>
      <c r="AY14" s="103"/>
      <c r="AZ14" s="206" t="s">
        <v>25</v>
      </c>
      <c r="BA14" s="206"/>
      <c r="BB14" s="206"/>
      <c r="BC14" s="206"/>
      <c r="BD14" s="128"/>
      <c r="BE14" s="128"/>
      <c r="BF14" s="205" t="s">
        <v>36</v>
      </c>
      <c r="BG14" s="205"/>
      <c r="BH14" s="205"/>
      <c r="BI14" s="205"/>
      <c r="BJ14" s="103"/>
      <c r="BK14" s="103"/>
      <c r="BL14" s="103"/>
      <c r="BM14" s="104"/>
      <c r="BN14" s="102"/>
      <c r="BO14" s="103"/>
      <c r="BP14" s="103"/>
      <c r="BQ14" s="103"/>
      <c r="BR14" s="205" t="s">
        <v>32</v>
      </c>
      <c r="BS14" s="205"/>
      <c r="BT14" s="205"/>
      <c r="BU14" s="205"/>
      <c r="BV14" s="103"/>
      <c r="BW14" s="103"/>
      <c r="BX14" s="206" t="s">
        <v>22</v>
      </c>
      <c r="BY14" s="206"/>
      <c r="BZ14" s="206"/>
      <c r="CA14" s="206"/>
      <c r="CB14" s="128"/>
      <c r="CC14" s="128"/>
      <c r="CD14" s="205" t="s">
        <v>33</v>
      </c>
      <c r="CE14" s="205"/>
      <c r="CF14" s="205"/>
      <c r="CG14" s="205"/>
      <c r="CH14" s="103"/>
      <c r="CI14" s="103"/>
      <c r="CJ14" s="206" t="s">
        <v>23</v>
      </c>
      <c r="CK14" s="206"/>
      <c r="CL14" s="206"/>
      <c r="CM14" s="206"/>
      <c r="CN14" s="128"/>
      <c r="CO14" s="128"/>
      <c r="CP14" s="205" t="s">
        <v>34</v>
      </c>
      <c r="CQ14" s="205"/>
      <c r="CR14" s="205"/>
      <c r="CS14" s="205"/>
      <c r="CT14" s="103"/>
      <c r="CU14" s="103"/>
      <c r="CV14" s="206" t="s">
        <v>24</v>
      </c>
      <c r="CW14" s="206"/>
      <c r="CX14" s="206"/>
      <c r="CY14" s="206"/>
      <c r="CZ14" s="128"/>
      <c r="DA14" s="128"/>
      <c r="DB14" s="205" t="s">
        <v>35</v>
      </c>
      <c r="DC14" s="205"/>
      <c r="DD14" s="205"/>
      <c r="DE14" s="205"/>
      <c r="DF14" s="103"/>
      <c r="DG14" s="103"/>
      <c r="DH14" s="206" t="s">
        <v>25</v>
      </c>
      <c r="DI14" s="206"/>
      <c r="DJ14" s="206"/>
      <c r="DK14" s="206"/>
      <c r="DL14" s="128"/>
      <c r="DM14" s="128"/>
      <c r="DN14" s="205" t="s">
        <v>36</v>
      </c>
      <c r="DO14" s="205"/>
      <c r="DP14" s="205"/>
      <c r="DQ14" s="205"/>
      <c r="DR14" s="103"/>
      <c r="DS14" s="103"/>
      <c r="DT14" s="103"/>
      <c r="DU14" s="104"/>
      <c r="DV14" s="102"/>
      <c r="DW14" s="103"/>
      <c r="DX14" s="103"/>
      <c r="DY14" s="103"/>
      <c r="DZ14" s="205" t="s">
        <v>32</v>
      </c>
      <c r="EA14" s="205"/>
      <c r="EB14" s="205"/>
      <c r="EC14" s="205"/>
      <c r="ED14" s="103"/>
      <c r="EE14" s="103"/>
      <c r="EF14" s="206" t="s">
        <v>22</v>
      </c>
      <c r="EG14" s="206"/>
      <c r="EH14" s="206"/>
      <c r="EI14" s="206"/>
      <c r="EJ14" s="128"/>
      <c r="EK14" s="128"/>
      <c r="EL14" s="205" t="s">
        <v>33</v>
      </c>
      <c r="EM14" s="205"/>
      <c r="EN14" s="205"/>
      <c r="EO14" s="205"/>
      <c r="EP14" s="103"/>
      <c r="EQ14" s="103"/>
      <c r="ER14" s="206" t="s">
        <v>23</v>
      </c>
      <c r="ES14" s="206"/>
      <c r="ET14" s="206"/>
      <c r="EU14" s="206"/>
      <c r="EV14" s="128"/>
      <c r="EW14" s="128"/>
      <c r="EX14" s="205" t="s">
        <v>34</v>
      </c>
      <c r="EY14" s="205"/>
      <c r="EZ14" s="205"/>
      <c r="FA14" s="205"/>
      <c r="FB14" s="103"/>
      <c r="FC14" s="103"/>
      <c r="FD14" s="206" t="s">
        <v>24</v>
      </c>
      <c r="FE14" s="206"/>
      <c r="FF14" s="206"/>
      <c r="FG14" s="206"/>
      <c r="FH14" s="128"/>
      <c r="FI14" s="128"/>
      <c r="FJ14" s="205" t="s">
        <v>35</v>
      </c>
      <c r="FK14" s="205"/>
      <c r="FL14" s="205"/>
      <c r="FM14" s="205"/>
      <c r="FN14" s="103"/>
      <c r="FO14" s="103"/>
      <c r="FP14" s="206" t="s">
        <v>25</v>
      </c>
      <c r="FQ14" s="206"/>
      <c r="FR14" s="206"/>
      <c r="FS14" s="206"/>
      <c r="FT14" s="128"/>
      <c r="FU14" s="128"/>
      <c r="FV14" s="205" t="s">
        <v>36</v>
      </c>
      <c r="FW14" s="205"/>
      <c r="FX14" s="205"/>
      <c r="FY14" s="205"/>
      <c r="FZ14" s="103"/>
      <c r="GA14" s="103"/>
      <c r="GB14" s="103"/>
      <c r="GC14" s="104"/>
      <c r="GD14" s="102"/>
      <c r="GE14" s="103"/>
      <c r="GF14" s="103"/>
      <c r="GG14" s="103"/>
      <c r="GH14" s="205" t="s">
        <v>32</v>
      </c>
      <c r="GI14" s="205"/>
      <c r="GJ14" s="205"/>
      <c r="GK14" s="205"/>
      <c r="GL14" s="103"/>
      <c r="GM14" s="103"/>
      <c r="GN14" s="206" t="s">
        <v>22</v>
      </c>
      <c r="GO14" s="206"/>
      <c r="GP14" s="206"/>
      <c r="GQ14" s="206"/>
      <c r="GR14" s="128"/>
      <c r="GS14" s="128"/>
      <c r="GT14" s="205" t="s">
        <v>33</v>
      </c>
      <c r="GU14" s="205"/>
      <c r="GV14" s="205"/>
      <c r="GW14" s="205"/>
      <c r="GX14" s="103"/>
      <c r="GY14" s="103"/>
      <c r="GZ14" s="206" t="s">
        <v>23</v>
      </c>
      <c r="HA14" s="206"/>
      <c r="HB14" s="206"/>
      <c r="HC14" s="206"/>
      <c r="HD14" s="128"/>
      <c r="HE14" s="128"/>
      <c r="HF14" s="205" t="s">
        <v>34</v>
      </c>
      <c r="HG14" s="205"/>
      <c r="HH14" s="205"/>
      <c r="HI14" s="205"/>
      <c r="HJ14" s="103"/>
      <c r="HK14" s="103"/>
      <c r="HL14" s="206" t="s">
        <v>24</v>
      </c>
      <c r="HM14" s="206"/>
      <c r="HN14" s="206"/>
      <c r="HO14" s="206"/>
      <c r="HP14" s="128"/>
      <c r="HQ14" s="128"/>
      <c r="HR14" s="205" t="s">
        <v>35</v>
      </c>
      <c r="HS14" s="205"/>
      <c r="HT14" s="205"/>
      <c r="HU14" s="205"/>
      <c r="HV14" s="103"/>
      <c r="HW14" s="103"/>
      <c r="HX14" s="206" t="s">
        <v>25</v>
      </c>
      <c r="HY14" s="206"/>
      <c r="HZ14" s="206"/>
      <c r="IA14" s="206"/>
      <c r="IB14" s="128"/>
      <c r="IC14" s="128"/>
      <c r="ID14" s="205" t="s">
        <v>36</v>
      </c>
      <c r="IE14" s="205"/>
      <c r="IF14" s="205"/>
      <c r="IG14" s="205"/>
      <c r="IH14" s="103"/>
      <c r="II14" s="103"/>
      <c r="IJ14" s="103"/>
      <c r="IK14" s="104"/>
      <c r="IL14" s="102"/>
      <c r="IM14" s="103"/>
      <c r="IN14" s="103"/>
      <c r="IO14" s="103"/>
      <c r="IP14" s="205" t="s">
        <v>32</v>
      </c>
      <c r="IQ14" s="205"/>
      <c r="IR14" s="205"/>
      <c r="IS14" s="205"/>
      <c r="IT14" s="103"/>
      <c r="IU14" s="103"/>
      <c r="IV14" s="206" t="s">
        <v>22</v>
      </c>
      <c r="IW14" s="206"/>
      <c r="IX14" s="206"/>
      <c r="IY14" s="206"/>
      <c r="IZ14" s="128"/>
      <c r="JA14" s="128"/>
      <c r="JB14" s="205" t="s">
        <v>33</v>
      </c>
      <c r="JC14" s="205"/>
      <c r="JD14" s="205"/>
      <c r="JE14" s="205"/>
      <c r="JF14" s="103"/>
      <c r="JG14" s="103"/>
      <c r="JH14" s="206" t="s">
        <v>23</v>
      </c>
      <c r="JI14" s="206"/>
      <c r="JJ14" s="206"/>
      <c r="JK14" s="206"/>
      <c r="JL14" s="128"/>
      <c r="JM14" s="128"/>
      <c r="JN14" s="205" t="s">
        <v>34</v>
      </c>
      <c r="JO14" s="205"/>
      <c r="JP14" s="205"/>
      <c r="JQ14" s="205"/>
      <c r="JR14" s="103"/>
      <c r="JS14" s="103"/>
      <c r="JT14" s="206" t="s">
        <v>24</v>
      </c>
      <c r="JU14" s="206"/>
      <c r="JV14" s="206"/>
      <c r="JW14" s="206"/>
      <c r="JX14" s="128"/>
      <c r="JY14" s="128"/>
      <c r="JZ14" s="205" t="s">
        <v>35</v>
      </c>
      <c r="KA14" s="205"/>
      <c r="KB14" s="205"/>
      <c r="KC14" s="205"/>
      <c r="KD14" s="103"/>
      <c r="KE14" s="103"/>
      <c r="KF14" s="206" t="s">
        <v>25</v>
      </c>
      <c r="KG14" s="206"/>
      <c r="KH14" s="206"/>
      <c r="KI14" s="206"/>
      <c r="KJ14" s="128"/>
      <c r="KK14" s="128"/>
      <c r="KL14" s="205" t="s">
        <v>36</v>
      </c>
      <c r="KM14" s="205"/>
      <c r="KN14" s="205"/>
      <c r="KO14" s="205"/>
      <c r="KP14" s="103"/>
      <c r="KQ14" s="103"/>
      <c r="KR14" s="103"/>
      <c r="KS14" s="104"/>
      <c r="KT14" s="102"/>
      <c r="KU14" s="103"/>
      <c r="KV14" s="103"/>
      <c r="KW14" s="103"/>
      <c r="KX14" s="205" t="s">
        <v>32</v>
      </c>
      <c r="KY14" s="205"/>
      <c r="KZ14" s="205"/>
      <c r="LA14" s="205"/>
      <c r="LB14" s="103"/>
      <c r="LC14" s="103"/>
      <c r="LD14" s="206" t="s">
        <v>22</v>
      </c>
      <c r="LE14" s="206"/>
      <c r="LF14" s="206"/>
      <c r="LG14" s="206"/>
      <c r="LH14" s="128"/>
      <c r="LI14" s="128"/>
      <c r="LJ14" s="205" t="s">
        <v>33</v>
      </c>
      <c r="LK14" s="205"/>
      <c r="LL14" s="205"/>
      <c r="LM14" s="205"/>
      <c r="LN14" s="103"/>
      <c r="LO14" s="103"/>
      <c r="LP14" s="206" t="s">
        <v>23</v>
      </c>
      <c r="LQ14" s="206"/>
      <c r="LR14" s="206"/>
      <c r="LS14" s="206"/>
      <c r="LT14" s="128"/>
      <c r="LU14" s="128"/>
      <c r="LV14" s="205" t="s">
        <v>34</v>
      </c>
      <c r="LW14" s="205"/>
      <c r="LX14" s="205"/>
      <c r="LY14" s="205"/>
      <c r="LZ14" s="103"/>
      <c r="MA14" s="103"/>
      <c r="MB14" s="206" t="s">
        <v>24</v>
      </c>
      <c r="MC14" s="206"/>
      <c r="MD14" s="206"/>
      <c r="ME14" s="206"/>
      <c r="MF14" s="128"/>
      <c r="MG14" s="128"/>
      <c r="MH14" s="205" t="s">
        <v>35</v>
      </c>
      <c r="MI14" s="205"/>
      <c r="MJ14" s="205"/>
      <c r="MK14" s="205"/>
      <c r="ML14" s="103"/>
      <c r="MM14" s="103"/>
      <c r="MN14" s="206" t="s">
        <v>25</v>
      </c>
      <c r="MO14" s="206"/>
      <c r="MP14" s="206"/>
      <c r="MQ14" s="206"/>
      <c r="MR14" s="128"/>
      <c r="MS14" s="128"/>
      <c r="MT14" s="205" t="s">
        <v>36</v>
      </c>
      <c r="MU14" s="205"/>
      <c r="MV14" s="205"/>
      <c r="MW14" s="205"/>
      <c r="MX14" s="103"/>
      <c r="MY14" s="103"/>
      <c r="MZ14" s="103"/>
      <c r="NA14" s="104"/>
      <c r="NB14" s="102"/>
      <c r="NC14" s="103"/>
      <c r="ND14" s="103"/>
      <c r="NE14" s="103"/>
      <c r="NF14" s="205" t="s">
        <v>32</v>
      </c>
      <c r="NG14" s="205"/>
      <c r="NH14" s="205"/>
      <c r="NI14" s="205"/>
      <c r="NJ14" s="103"/>
      <c r="NK14" s="103"/>
      <c r="NL14" s="206" t="s">
        <v>22</v>
      </c>
      <c r="NM14" s="206"/>
      <c r="NN14" s="206"/>
      <c r="NO14" s="206"/>
      <c r="NP14" s="128"/>
      <c r="NQ14" s="128"/>
      <c r="NR14" s="205" t="s">
        <v>33</v>
      </c>
      <c r="NS14" s="205"/>
      <c r="NT14" s="205"/>
      <c r="NU14" s="205"/>
      <c r="NV14" s="103"/>
      <c r="NW14" s="103"/>
      <c r="NX14" s="206" t="s">
        <v>23</v>
      </c>
      <c r="NY14" s="206"/>
      <c r="NZ14" s="206"/>
      <c r="OA14" s="206"/>
      <c r="OB14" s="128"/>
      <c r="OC14" s="128"/>
      <c r="OD14" s="205" t="s">
        <v>34</v>
      </c>
      <c r="OE14" s="205"/>
      <c r="OF14" s="205"/>
      <c r="OG14" s="205"/>
      <c r="OH14" s="103"/>
      <c r="OI14" s="103"/>
      <c r="OJ14" s="206" t="s">
        <v>24</v>
      </c>
      <c r="OK14" s="206"/>
      <c r="OL14" s="206"/>
      <c r="OM14" s="206"/>
      <c r="ON14" s="128"/>
      <c r="OO14" s="128"/>
      <c r="OP14" s="205" t="s">
        <v>35</v>
      </c>
      <c r="OQ14" s="205"/>
      <c r="OR14" s="205"/>
      <c r="OS14" s="205"/>
      <c r="OT14" s="103"/>
      <c r="OU14" s="103"/>
      <c r="OV14" s="206" t="s">
        <v>25</v>
      </c>
      <c r="OW14" s="206"/>
      <c r="OX14" s="206"/>
      <c r="OY14" s="206"/>
      <c r="OZ14" s="128"/>
      <c r="PA14" s="128"/>
      <c r="PB14" s="205" t="s">
        <v>36</v>
      </c>
      <c r="PC14" s="205"/>
      <c r="PD14" s="205"/>
      <c r="PE14" s="205"/>
      <c r="PF14" s="103"/>
      <c r="PG14" s="103"/>
      <c r="PH14" s="103"/>
      <c r="PI14" s="104"/>
      <c r="PJ14" s="102"/>
      <c r="PK14" s="103"/>
      <c r="PL14" s="103"/>
      <c r="PM14" s="103"/>
      <c r="PN14" s="205" t="s">
        <v>32</v>
      </c>
      <c r="PO14" s="205"/>
      <c r="PP14" s="205"/>
      <c r="PQ14" s="205"/>
      <c r="PR14" s="103"/>
      <c r="PS14" s="103"/>
      <c r="PT14" s="206" t="s">
        <v>22</v>
      </c>
      <c r="PU14" s="206"/>
      <c r="PV14" s="206"/>
      <c r="PW14" s="206"/>
      <c r="PX14" s="128"/>
      <c r="PY14" s="128"/>
      <c r="PZ14" s="205" t="s">
        <v>33</v>
      </c>
      <c r="QA14" s="205"/>
      <c r="QB14" s="205"/>
      <c r="QC14" s="205"/>
      <c r="QD14" s="103"/>
      <c r="QE14" s="103"/>
      <c r="QF14" s="206" t="s">
        <v>23</v>
      </c>
      <c r="QG14" s="206"/>
      <c r="QH14" s="206"/>
      <c r="QI14" s="206"/>
      <c r="QJ14" s="128"/>
      <c r="QK14" s="128"/>
      <c r="QL14" s="205" t="s">
        <v>34</v>
      </c>
      <c r="QM14" s="205"/>
      <c r="QN14" s="205"/>
      <c r="QO14" s="205"/>
      <c r="QP14" s="103"/>
      <c r="QQ14" s="103"/>
      <c r="QR14" s="206" t="s">
        <v>24</v>
      </c>
      <c r="QS14" s="206"/>
      <c r="QT14" s="206"/>
      <c r="QU14" s="206"/>
      <c r="QV14" s="128"/>
      <c r="QW14" s="128"/>
      <c r="QX14" s="205" t="s">
        <v>35</v>
      </c>
      <c r="QY14" s="205"/>
      <c r="QZ14" s="205"/>
      <c r="RA14" s="205"/>
      <c r="RB14" s="103"/>
      <c r="RC14" s="103"/>
      <c r="RD14" s="206" t="s">
        <v>25</v>
      </c>
      <c r="RE14" s="206"/>
      <c r="RF14" s="206"/>
      <c r="RG14" s="206"/>
      <c r="RH14" s="128"/>
      <c r="RI14" s="128"/>
      <c r="RJ14" s="205" t="s">
        <v>36</v>
      </c>
      <c r="RK14" s="205"/>
      <c r="RL14" s="205"/>
      <c r="RM14" s="205"/>
      <c r="RN14" s="103"/>
      <c r="RO14" s="103"/>
      <c r="RP14" s="103"/>
      <c r="RQ14" s="104"/>
      <c r="RR14" s="102"/>
      <c r="RS14" s="103"/>
      <c r="RT14" s="103"/>
      <c r="RU14" s="103"/>
      <c r="RV14" s="205" t="s">
        <v>32</v>
      </c>
      <c r="RW14" s="205"/>
      <c r="RX14" s="205"/>
      <c r="RY14" s="205"/>
      <c r="RZ14" s="103"/>
      <c r="SA14" s="103"/>
      <c r="SB14" s="206" t="s">
        <v>22</v>
      </c>
      <c r="SC14" s="206"/>
      <c r="SD14" s="206"/>
      <c r="SE14" s="206"/>
      <c r="SF14" s="128"/>
      <c r="SG14" s="128"/>
      <c r="SH14" s="205" t="s">
        <v>33</v>
      </c>
      <c r="SI14" s="205"/>
      <c r="SJ14" s="205"/>
      <c r="SK14" s="205"/>
      <c r="SL14" s="103"/>
      <c r="SM14" s="103"/>
      <c r="SN14" s="206" t="s">
        <v>23</v>
      </c>
      <c r="SO14" s="206"/>
      <c r="SP14" s="206"/>
      <c r="SQ14" s="206"/>
      <c r="SR14" s="128"/>
      <c r="SS14" s="128"/>
      <c r="ST14" s="205" t="s">
        <v>34</v>
      </c>
      <c r="SU14" s="205"/>
      <c r="SV14" s="205"/>
      <c r="SW14" s="205"/>
      <c r="SX14" s="103"/>
      <c r="SY14" s="103"/>
      <c r="SZ14" s="206" t="s">
        <v>24</v>
      </c>
      <c r="TA14" s="206"/>
      <c r="TB14" s="206"/>
      <c r="TC14" s="206"/>
      <c r="TD14" s="128"/>
      <c r="TE14" s="128"/>
      <c r="TF14" s="205" t="s">
        <v>35</v>
      </c>
      <c r="TG14" s="205"/>
      <c r="TH14" s="205"/>
      <c r="TI14" s="205"/>
      <c r="TJ14" s="103"/>
      <c r="TK14" s="103"/>
      <c r="TL14" s="206" t="s">
        <v>25</v>
      </c>
      <c r="TM14" s="206"/>
      <c r="TN14" s="206"/>
      <c r="TO14" s="206"/>
      <c r="TP14" s="128"/>
      <c r="TQ14" s="128"/>
      <c r="TR14" s="205" t="s">
        <v>36</v>
      </c>
      <c r="TS14" s="205"/>
      <c r="TT14" s="205"/>
      <c r="TU14" s="205"/>
      <c r="TV14" s="103"/>
      <c r="TW14" s="103"/>
      <c r="TX14" s="103"/>
      <c r="TY14" s="104"/>
      <c r="TZ14" s="102"/>
      <c r="UA14" s="103"/>
      <c r="UB14" s="103"/>
      <c r="UC14" s="103"/>
      <c r="UD14" s="205" t="s">
        <v>32</v>
      </c>
      <c r="UE14" s="205"/>
      <c r="UF14" s="205"/>
      <c r="UG14" s="205"/>
      <c r="UH14" s="103"/>
      <c r="UI14" s="103"/>
      <c r="UJ14" s="206" t="s">
        <v>22</v>
      </c>
      <c r="UK14" s="206"/>
      <c r="UL14" s="206"/>
      <c r="UM14" s="206"/>
      <c r="UN14" s="128"/>
      <c r="UO14" s="128"/>
      <c r="UP14" s="205" t="s">
        <v>33</v>
      </c>
      <c r="UQ14" s="205"/>
      <c r="UR14" s="205"/>
      <c r="US14" s="205"/>
      <c r="UT14" s="103"/>
      <c r="UU14" s="103"/>
      <c r="UV14" s="206" t="s">
        <v>23</v>
      </c>
      <c r="UW14" s="206"/>
      <c r="UX14" s="206"/>
      <c r="UY14" s="206"/>
      <c r="UZ14" s="128"/>
      <c r="VA14" s="128"/>
      <c r="VB14" s="205" t="s">
        <v>34</v>
      </c>
      <c r="VC14" s="205"/>
      <c r="VD14" s="205"/>
      <c r="VE14" s="205"/>
      <c r="VF14" s="103"/>
      <c r="VG14" s="103"/>
      <c r="VH14" s="206" t="s">
        <v>24</v>
      </c>
      <c r="VI14" s="206"/>
      <c r="VJ14" s="206"/>
      <c r="VK14" s="206"/>
      <c r="VL14" s="128"/>
      <c r="VM14" s="128"/>
      <c r="VN14" s="205" t="s">
        <v>35</v>
      </c>
      <c r="VO14" s="205"/>
      <c r="VP14" s="205"/>
      <c r="VQ14" s="205"/>
      <c r="VR14" s="103"/>
      <c r="VS14" s="103"/>
      <c r="VT14" s="206" t="s">
        <v>25</v>
      </c>
      <c r="VU14" s="206"/>
      <c r="VV14" s="206"/>
      <c r="VW14" s="206"/>
      <c r="VX14" s="128"/>
      <c r="VY14" s="128"/>
      <c r="VZ14" s="205" t="s">
        <v>36</v>
      </c>
      <c r="WA14" s="205"/>
      <c r="WB14" s="205"/>
      <c r="WC14" s="205"/>
      <c r="WD14" s="103"/>
      <c r="WE14" s="103"/>
      <c r="WF14" s="103"/>
      <c r="WG14" s="104"/>
      <c r="WH14" s="102"/>
      <c r="WI14" s="103"/>
      <c r="WJ14" s="103"/>
      <c r="WK14" s="103"/>
      <c r="WL14" s="205" t="s">
        <v>32</v>
      </c>
      <c r="WM14" s="205"/>
      <c r="WN14" s="205"/>
      <c r="WO14" s="205"/>
      <c r="WP14" s="103"/>
      <c r="WQ14" s="103"/>
      <c r="WR14" s="206" t="s">
        <v>22</v>
      </c>
      <c r="WS14" s="206"/>
      <c r="WT14" s="206"/>
      <c r="WU14" s="206"/>
      <c r="WV14" s="128"/>
      <c r="WW14" s="128"/>
      <c r="WX14" s="205" t="s">
        <v>33</v>
      </c>
      <c r="WY14" s="205"/>
      <c r="WZ14" s="205"/>
      <c r="XA14" s="205"/>
      <c r="XB14" s="103"/>
      <c r="XC14" s="103"/>
      <c r="XD14" s="206" t="s">
        <v>23</v>
      </c>
      <c r="XE14" s="206"/>
      <c r="XF14" s="206"/>
      <c r="XG14" s="206"/>
      <c r="XH14" s="128"/>
      <c r="XI14" s="128"/>
      <c r="XJ14" s="205" t="s">
        <v>34</v>
      </c>
      <c r="XK14" s="205"/>
      <c r="XL14" s="205"/>
      <c r="XM14" s="205"/>
      <c r="XN14" s="103"/>
      <c r="XO14" s="103"/>
      <c r="XP14" s="206" t="s">
        <v>24</v>
      </c>
      <c r="XQ14" s="206"/>
      <c r="XR14" s="206"/>
      <c r="XS14" s="206"/>
      <c r="XT14" s="128"/>
      <c r="XU14" s="128"/>
      <c r="XV14" s="205" t="s">
        <v>35</v>
      </c>
      <c r="XW14" s="205"/>
      <c r="XX14" s="205"/>
      <c r="XY14" s="205"/>
      <c r="XZ14" s="103"/>
      <c r="YA14" s="103"/>
      <c r="YB14" s="206" t="s">
        <v>25</v>
      </c>
      <c r="YC14" s="206"/>
      <c r="YD14" s="206"/>
      <c r="YE14" s="206"/>
      <c r="YF14" s="128"/>
      <c r="YG14" s="128"/>
      <c r="YH14" s="205" t="s">
        <v>36</v>
      </c>
      <c r="YI14" s="205"/>
      <c r="YJ14" s="205"/>
      <c r="YK14" s="205"/>
      <c r="YL14" s="103"/>
      <c r="YM14" s="103"/>
      <c r="YN14" s="103"/>
      <c r="YO14" s="104"/>
      <c r="YP14" s="102"/>
      <c r="YQ14" s="103"/>
      <c r="YR14" s="103"/>
      <c r="YS14" s="103"/>
      <c r="YT14" s="205" t="s">
        <v>32</v>
      </c>
      <c r="YU14" s="205"/>
      <c r="YV14" s="205"/>
      <c r="YW14" s="205"/>
      <c r="YX14" s="103"/>
      <c r="YY14" s="103"/>
      <c r="YZ14" s="206" t="s">
        <v>22</v>
      </c>
      <c r="ZA14" s="206"/>
      <c r="ZB14" s="206"/>
      <c r="ZC14" s="206"/>
      <c r="ZD14" s="128"/>
      <c r="ZE14" s="128"/>
      <c r="ZF14" s="205" t="s">
        <v>33</v>
      </c>
      <c r="ZG14" s="205"/>
      <c r="ZH14" s="205"/>
      <c r="ZI14" s="205"/>
      <c r="ZJ14" s="103"/>
      <c r="ZK14" s="103"/>
      <c r="ZL14" s="206" t="s">
        <v>23</v>
      </c>
      <c r="ZM14" s="206"/>
      <c r="ZN14" s="206"/>
      <c r="ZO14" s="206"/>
      <c r="ZP14" s="128"/>
      <c r="ZQ14" s="128"/>
      <c r="ZR14" s="205" t="s">
        <v>34</v>
      </c>
      <c r="ZS14" s="205"/>
      <c r="ZT14" s="205"/>
      <c r="ZU14" s="205"/>
      <c r="ZV14" s="103"/>
      <c r="ZW14" s="103"/>
      <c r="ZX14" s="206" t="s">
        <v>24</v>
      </c>
      <c r="ZY14" s="206"/>
      <c r="ZZ14" s="206"/>
      <c r="AAA14" s="206"/>
      <c r="AAB14" s="128"/>
      <c r="AAC14" s="128"/>
      <c r="AAD14" s="205" t="s">
        <v>35</v>
      </c>
      <c r="AAE14" s="205"/>
      <c r="AAF14" s="205"/>
      <c r="AAG14" s="205"/>
      <c r="AAH14" s="103"/>
      <c r="AAI14" s="103"/>
      <c r="AAJ14" s="206" t="s">
        <v>25</v>
      </c>
      <c r="AAK14" s="206"/>
      <c r="AAL14" s="206"/>
      <c r="AAM14" s="206"/>
      <c r="AAN14" s="128"/>
      <c r="AAO14" s="128"/>
      <c r="AAP14" s="205" t="s">
        <v>36</v>
      </c>
      <c r="AAQ14" s="205"/>
      <c r="AAR14" s="205"/>
      <c r="AAS14" s="205"/>
      <c r="AAT14" s="103"/>
      <c r="AAU14" s="103"/>
      <c r="AAV14" s="103"/>
      <c r="AAW14" s="104"/>
      <c r="AAX14" s="102"/>
      <c r="AAY14" s="103"/>
      <c r="AAZ14" s="103"/>
      <c r="ABA14" s="103"/>
      <c r="ABB14" s="205" t="s">
        <v>32</v>
      </c>
      <c r="ABC14" s="205"/>
      <c r="ABD14" s="205"/>
      <c r="ABE14" s="205"/>
      <c r="ABF14" s="103"/>
      <c r="ABG14" s="103"/>
      <c r="ABH14" s="206" t="s">
        <v>22</v>
      </c>
      <c r="ABI14" s="206"/>
      <c r="ABJ14" s="206"/>
      <c r="ABK14" s="206"/>
      <c r="ABL14" s="128"/>
      <c r="ABM14" s="128"/>
      <c r="ABN14" s="205" t="s">
        <v>33</v>
      </c>
      <c r="ABO14" s="205"/>
      <c r="ABP14" s="205"/>
      <c r="ABQ14" s="205"/>
      <c r="ABR14" s="103"/>
      <c r="ABS14" s="103"/>
      <c r="ABT14" s="206" t="s">
        <v>23</v>
      </c>
      <c r="ABU14" s="206"/>
      <c r="ABV14" s="206"/>
      <c r="ABW14" s="206"/>
      <c r="ABX14" s="128"/>
      <c r="ABY14" s="128"/>
      <c r="ABZ14" s="205" t="s">
        <v>34</v>
      </c>
      <c r="ACA14" s="205"/>
      <c r="ACB14" s="205"/>
      <c r="ACC14" s="205"/>
      <c r="ACD14" s="103"/>
      <c r="ACE14" s="103"/>
      <c r="ACF14" s="206" t="s">
        <v>24</v>
      </c>
      <c r="ACG14" s="206"/>
      <c r="ACH14" s="206"/>
      <c r="ACI14" s="206"/>
      <c r="ACJ14" s="128"/>
      <c r="ACK14" s="128"/>
      <c r="ACL14" s="205" t="s">
        <v>35</v>
      </c>
      <c r="ACM14" s="205"/>
      <c r="ACN14" s="205"/>
      <c r="ACO14" s="205"/>
      <c r="ACP14" s="103"/>
      <c r="ACQ14" s="103"/>
      <c r="ACR14" s="206" t="s">
        <v>25</v>
      </c>
      <c r="ACS14" s="206"/>
      <c r="ACT14" s="206"/>
      <c r="ACU14" s="206"/>
      <c r="ACV14" s="128"/>
      <c r="ACW14" s="128"/>
      <c r="ACX14" s="205" t="s">
        <v>36</v>
      </c>
      <c r="ACY14" s="205"/>
      <c r="ACZ14" s="205"/>
      <c r="ADA14" s="205"/>
      <c r="ADB14" s="103"/>
      <c r="ADC14" s="103"/>
      <c r="ADD14" s="103"/>
      <c r="ADE14" s="104"/>
      <c r="ADF14" s="102"/>
      <c r="ADG14" s="103"/>
      <c r="ADH14" s="103"/>
      <c r="ADI14" s="103"/>
      <c r="ADJ14" s="205" t="s">
        <v>32</v>
      </c>
      <c r="ADK14" s="205"/>
      <c r="ADL14" s="205"/>
      <c r="ADM14" s="205"/>
      <c r="ADN14" s="103"/>
      <c r="ADO14" s="103"/>
      <c r="ADP14" s="206" t="s">
        <v>22</v>
      </c>
      <c r="ADQ14" s="206"/>
      <c r="ADR14" s="206"/>
      <c r="ADS14" s="206"/>
      <c r="ADT14" s="128"/>
      <c r="ADU14" s="128"/>
      <c r="ADV14" s="205" t="s">
        <v>33</v>
      </c>
      <c r="ADW14" s="205"/>
      <c r="ADX14" s="205"/>
      <c r="ADY14" s="205"/>
      <c r="ADZ14" s="103"/>
      <c r="AEA14" s="103"/>
      <c r="AEB14" s="206" t="s">
        <v>23</v>
      </c>
      <c r="AEC14" s="206"/>
      <c r="AED14" s="206"/>
      <c r="AEE14" s="206"/>
      <c r="AEF14" s="128"/>
      <c r="AEG14" s="128"/>
      <c r="AEH14" s="205" t="s">
        <v>34</v>
      </c>
      <c r="AEI14" s="205"/>
      <c r="AEJ14" s="205"/>
      <c r="AEK14" s="205"/>
      <c r="AEL14" s="103"/>
      <c r="AEM14" s="103"/>
      <c r="AEN14" s="206" t="s">
        <v>24</v>
      </c>
      <c r="AEO14" s="206"/>
      <c r="AEP14" s="206"/>
      <c r="AEQ14" s="206"/>
      <c r="AER14" s="128"/>
      <c r="AES14" s="128"/>
      <c r="AET14" s="205" t="s">
        <v>35</v>
      </c>
      <c r="AEU14" s="205"/>
      <c r="AEV14" s="205"/>
      <c r="AEW14" s="205"/>
      <c r="AEX14" s="103"/>
      <c r="AEY14" s="103"/>
      <c r="AEZ14" s="206" t="s">
        <v>25</v>
      </c>
      <c r="AFA14" s="206"/>
      <c r="AFB14" s="206"/>
      <c r="AFC14" s="206"/>
      <c r="AFD14" s="128"/>
      <c r="AFE14" s="128"/>
      <c r="AFF14" s="205" t="s">
        <v>36</v>
      </c>
      <c r="AFG14" s="205"/>
      <c r="AFH14" s="205"/>
      <c r="AFI14" s="205"/>
      <c r="AFJ14" s="103"/>
      <c r="AFK14" s="103"/>
      <c r="AFL14" s="103"/>
      <c r="AFM14" s="104"/>
      <c r="AFN14" s="102"/>
      <c r="AFO14" s="103"/>
      <c r="AFP14" s="103"/>
      <c r="AFQ14" s="103"/>
      <c r="AFR14" s="205" t="s">
        <v>32</v>
      </c>
      <c r="AFS14" s="205"/>
      <c r="AFT14" s="205"/>
      <c r="AFU14" s="205"/>
      <c r="AFV14" s="103"/>
      <c r="AFW14" s="103"/>
      <c r="AFX14" s="206" t="s">
        <v>22</v>
      </c>
      <c r="AFY14" s="206"/>
      <c r="AFZ14" s="206"/>
      <c r="AGA14" s="206"/>
      <c r="AGB14" s="128"/>
      <c r="AGC14" s="128"/>
      <c r="AGD14" s="205" t="s">
        <v>33</v>
      </c>
      <c r="AGE14" s="205"/>
      <c r="AGF14" s="205"/>
      <c r="AGG14" s="205"/>
      <c r="AGH14" s="103"/>
      <c r="AGI14" s="103"/>
      <c r="AGJ14" s="206" t="s">
        <v>23</v>
      </c>
      <c r="AGK14" s="206"/>
      <c r="AGL14" s="206"/>
      <c r="AGM14" s="206"/>
      <c r="AGN14" s="128"/>
      <c r="AGO14" s="128"/>
      <c r="AGP14" s="205" t="s">
        <v>34</v>
      </c>
      <c r="AGQ14" s="205"/>
      <c r="AGR14" s="205"/>
      <c r="AGS14" s="205"/>
      <c r="AGT14" s="103"/>
      <c r="AGU14" s="103"/>
      <c r="AGV14" s="206" t="s">
        <v>24</v>
      </c>
      <c r="AGW14" s="206"/>
      <c r="AGX14" s="206"/>
      <c r="AGY14" s="206"/>
      <c r="AGZ14" s="128"/>
      <c r="AHA14" s="128"/>
      <c r="AHB14" s="205" t="s">
        <v>35</v>
      </c>
      <c r="AHC14" s="205"/>
      <c r="AHD14" s="205"/>
      <c r="AHE14" s="205"/>
      <c r="AHF14" s="103"/>
      <c r="AHG14" s="103"/>
      <c r="AHH14" s="206" t="s">
        <v>25</v>
      </c>
      <c r="AHI14" s="206"/>
      <c r="AHJ14" s="206"/>
      <c r="AHK14" s="206"/>
      <c r="AHL14" s="128"/>
      <c r="AHM14" s="128"/>
      <c r="AHN14" s="205" t="s">
        <v>36</v>
      </c>
      <c r="AHO14" s="205"/>
      <c r="AHP14" s="205"/>
      <c r="AHQ14" s="205"/>
      <c r="AHR14" s="103"/>
      <c r="AHS14" s="103"/>
      <c r="AHT14" s="103"/>
      <c r="AHU14" s="104"/>
      <c r="AHV14" s="102"/>
      <c r="AHW14" s="103"/>
      <c r="AHX14" s="103"/>
      <c r="AHY14" s="103"/>
      <c r="AHZ14" s="205" t="s">
        <v>32</v>
      </c>
      <c r="AIA14" s="205"/>
      <c r="AIB14" s="205"/>
      <c r="AIC14" s="205"/>
      <c r="AID14" s="103"/>
      <c r="AIE14" s="103"/>
      <c r="AIF14" s="206" t="s">
        <v>22</v>
      </c>
      <c r="AIG14" s="206"/>
      <c r="AIH14" s="206"/>
      <c r="AII14" s="206"/>
      <c r="AIJ14" s="128"/>
      <c r="AIK14" s="128"/>
      <c r="AIL14" s="205" t="s">
        <v>33</v>
      </c>
      <c r="AIM14" s="205"/>
      <c r="AIN14" s="205"/>
      <c r="AIO14" s="205"/>
      <c r="AIP14" s="103"/>
      <c r="AIQ14" s="103"/>
      <c r="AIR14" s="206" t="s">
        <v>23</v>
      </c>
      <c r="AIS14" s="206"/>
      <c r="AIT14" s="206"/>
      <c r="AIU14" s="206"/>
      <c r="AIV14" s="128"/>
      <c r="AIW14" s="128"/>
      <c r="AIX14" s="205" t="s">
        <v>34</v>
      </c>
      <c r="AIY14" s="205"/>
      <c r="AIZ14" s="205"/>
      <c r="AJA14" s="205"/>
      <c r="AJB14" s="103"/>
      <c r="AJC14" s="103"/>
      <c r="AJD14" s="206" t="s">
        <v>24</v>
      </c>
      <c r="AJE14" s="206"/>
      <c r="AJF14" s="206"/>
      <c r="AJG14" s="206"/>
      <c r="AJH14" s="128"/>
      <c r="AJI14" s="128"/>
      <c r="AJJ14" s="205" t="s">
        <v>35</v>
      </c>
      <c r="AJK14" s="205"/>
      <c r="AJL14" s="205"/>
      <c r="AJM14" s="205"/>
      <c r="AJN14" s="103"/>
      <c r="AJO14" s="103"/>
      <c r="AJP14" s="206" t="s">
        <v>25</v>
      </c>
      <c r="AJQ14" s="206"/>
      <c r="AJR14" s="206"/>
      <c r="AJS14" s="206"/>
      <c r="AJT14" s="128"/>
      <c r="AJU14" s="128"/>
      <c r="AJV14" s="205" t="s">
        <v>36</v>
      </c>
      <c r="AJW14" s="205"/>
      <c r="AJX14" s="205"/>
      <c r="AJY14" s="205"/>
      <c r="AJZ14" s="103"/>
      <c r="AKA14" s="103"/>
      <c r="AKB14" s="103"/>
      <c r="AKC14" s="104"/>
      <c r="AKD14" s="102"/>
      <c r="AKE14" s="103"/>
      <c r="AKF14" s="103"/>
      <c r="AKG14" s="103"/>
      <c r="AKH14" s="205" t="s">
        <v>32</v>
      </c>
      <c r="AKI14" s="205"/>
      <c r="AKJ14" s="205"/>
      <c r="AKK14" s="205"/>
      <c r="AKL14" s="103"/>
      <c r="AKM14" s="103"/>
      <c r="AKN14" s="206" t="s">
        <v>22</v>
      </c>
      <c r="AKO14" s="206"/>
      <c r="AKP14" s="206"/>
      <c r="AKQ14" s="206"/>
      <c r="AKR14" s="128"/>
      <c r="AKS14" s="128"/>
      <c r="AKT14" s="205" t="s">
        <v>33</v>
      </c>
      <c r="AKU14" s="205"/>
      <c r="AKV14" s="205"/>
      <c r="AKW14" s="205"/>
      <c r="AKX14" s="103"/>
      <c r="AKY14" s="103"/>
      <c r="AKZ14" s="206" t="s">
        <v>23</v>
      </c>
      <c r="ALA14" s="206"/>
      <c r="ALB14" s="206"/>
      <c r="ALC14" s="206"/>
      <c r="ALD14" s="128"/>
      <c r="ALE14" s="128"/>
      <c r="ALF14" s="205" t="s">
        <v>34</v>
      </c>
      <c r="ALG14" s="205"/>
      <c r="ALH14" s="205"/>
      <c r="ALI14" s="205"/>
      <c r="ALJ14" s="103"/>
      <c r="ALK14" s="103"/>
      <c r="ALL14" s="206" t="s">
        <v>24</v>
      </c>
      <c r="ALM14" s="206"/>
      <c r="ALN14" s="206"/>
      <c r="ALO14" s="206"/>
      <c r="ALP14" s="128"/>
      <c r="ALQ14" s="128"/>
      <c r="ALR14" s="205" t="s">
        <v>35</v>
      </c>
      <c r="ALS14" s="205"/>
      <c r="ALT14" s="205"/>
      <c r="ALU14" s="205"/>
      <c r="ALV14" s="103"/>
      <c r="ALW14" s="103"/>
      <c r="ALX14" s="206" t="s">
        <v>25</v>
      </c>
      <c r="ALY14" s="206"/>
      <c r="ALZ14" s="206"/>
      <c r="AMA14" s="206"/>
      <c r="AMB14" s="128"/>
      <c r="AMC14" s="128"/>
      <c r="AMD14" s="205" t="s">
        <v>36</v>
      </c>
      <c r="AME14" s="205"/>
      <c r="AMF14" s="205"/>
      <c r="AMG14" s="205"/>
      <c r="AMH14" s="103"/>
      <c r="AMI14" s="103"/>
      <c r="AMJ14" s="103"/>
      <c r="AMK14" s="104"/>
      <c r="AML14" s="102"/>
      <c r="AMM14" s="103"/>
      <c r="AMN14" s="103"/>
      <c r="AMO14" s="103"/>
      <c r="AMP14" s="205" t="s">
        <v>32</v>
      </c>
      <c r="AMQ14" s="205"/>
      <c r="AMR14" s="205"/>
      <c r="AMS14" s="205"/>
      <c r="AMT14" s="103"/>
      <c r="AMU14" s="103"/>
      <c r="AMV14" s="206" t="s">
        <v>22</v>
      </c>
      <c r="AMW14" s="206"/>
      <c r="AMX14" s="206"/>
      <c r="AMY14" s="206"/>
      <c r="AMZ14" s="128"/>
      <c r="ANA14" s="128"/>
      <c r="ANB14" s="205" t="s">
        <v>33</v>
      </c>
      <c r="ANC14" s="205"/>
      <c r="AND14" s="205"/>
      <c r="ANE14" s="205"/>
      <c r="ANF14" s="103"/>
      <c r="ANG14" s="103"/>
      <c r="ANH14" s="206" t="s">
        <v>23</v>
      </c>
      <c r="ANI14" s="206"/>
      <c r="ANJ14" s="206"/>
      <c r="ANK14" s="206"/>
      <c r="ANL14" s="128"/>
      <c r="ANM14" s="128"/>
      <c r="ANN14" s="205" t="s">
        <v>34</v>
      </c>
      <c r="ANO14" s="205"/>
      <c r="ANP14" s="205"/>
      <c r="ANQ14" s="205"/>
      <c r="ANR14" s="103"/>
      <c r="ANS14" s="103"/>
      <c r="ANT14" s="206" t="s">
        <v>24</v>
      </c>
      <c r="ANU14" s="206"/>
      <c r="ANV14" s="206"/>
      <c r="ANW14" s="206"/>
      <c r="ANX14" s="128"/>
      <c r="ANY14" s="128"/>
      <c r="ANZ14" s="205" t="s">
        <v>35</v>
      </c>
      <c r="AOA14" s="205"/>
      <c r="AOB14" s="205"/>
      <c r="AOC14" s="205"/>
      <c r="AOD14" s="103"/>
      <c r="AOE14" s="103"/>
      <c r="AOF14" s="206" t="s">
        <v>25</v>
      </c>
      <c r="AOG14" s="206"/>
      <c r="AOH14" s="206"/>
      <c r="AOI14" s="206"/>
      <c r="AOJ14" s="128"/>
      <c r="AOK14" s="128"/>
      <c r="AOL14" s="205" t="s">
        <v>36</v>
      </c>
      <c r="AOM14" s="205"/>
      <c r="AON14" s="205"/>
      <c r="AOO14" s="205"/>
      <c r="AOP14" s="103"/>
      <c r="AOQ14" s="103"/>
      <c r="AOR14" s="103"/>
      <c r="AOS14" s="104"/>
      <c r="AOT14" s="89"/>
    </row>
    <row r="15" spans="1:1086" ht="20.100000000000001" customHeight="1">
      <c r="A15" s="99" t="s">
        <v>18</v>
      </c>
      <c r="B15" s="62" t="str">
        <f>IF(LEN(C15)=0,"",C15)</f>
        <v>Absences - imprévus -Séances</v>
      </c>
      <c r="C15" s="215" t="s">
        <v>51</v>
      </c>
      <c r="D15" s="148" t="str">
        <f>setValueToTime(E15)</f>
        <v>1h</v>
      </c>
      <c r="E15" s="30">
        <v>12</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23"/>
      <c r="ADG15" s="67"/>
      <c r="ADH15" s="67"/>
      <c r="ADI15" s="67"/>
      <c r="ADJ15" s="24"/>
      <c r="ADK15" s="129"/>
      <c r="ADL15" s="24"/>
      <c r="ADM15" s="24"/>
      <c r="ADN15" s="24"/>
      <c r="ADO15" s="24"/>
      <c r="ADP15" s="24"/>
      <c r="ADQ15" s="134"/>
      <c r="ADR15" s="24"/>
      <c r="ADS15" s="24"/>
      <c r="ADT15" s="24"/>
      <c r="ADU15" s="24"/>
      <c r="ADV15" s="24"/>
      <c r="ADW15" s="71"/>
      <c r="ADX15" s="24"/>
      <c r="ADY15" s="24"/>
      <c r="ADZ15" s="24"/>
      <c r="AEA15" s="24"/>
      <c r="AEB15" s="24"/>
      <c r="AEC15" s="134"/>
      <c r="AED15" s="24"/>
      <c r="AEE15" s="24"/>
      <c r="AEF15" s="24"/>
      <c r="AEG15" s="24"/>
      <c r="AEH15" s="24"/>
      <c r="AEI15" s="71"/>
      <c r="AEJ15" s="67"/>
      <c r="AEK15" s="67"/>
      <c r="AEL15" s="67"/>
      <c r="AEM15" s="67"/>
      <c r="AEN15" s="24"/>
      <c r="AEO15" s="134"/>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086" ht="20.100000000000001" customHeight="1">
      <c r="A16" s="99" t="s">
        <v>19</v>
      </c>
      <c r="B16" s="62" t="str">
        <f>IF(LEN(C17)=0,"",C17)</f>
        <v>Doc - Journal de travail</v>
      </c>
      <c r="C16" s="216"/>
      <c r="D16" s="146" t="str">
        <f t="shared" ref="D16:D79" si="0">setValueToTime(E16)</f>
        <v>1h</v>
      </c>
      <c r="E16" s="34">
        <v>12</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27"/>
      <c r="NC16" s="66"/>
      <c r="ND16" s="66"/>
      <c r="NE16" s="66"/>
      <c r="NF16" s="28"/>
      <c r="NG16" s="130"/>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27"/>
      <c r="ADG16" s="66"/>
      <c r="ADH16" s="66"/>
      <c r="ADI16" s="66"/>
      <c r="ADJ16" s="28"/>
      <c r="ADK16" s="130"/>
      <c r="ADL16" s="28"/>
      <c r="ADM16" s="28"/>
      <c r="ADN16" s="28"/>
      <c r="ADO16" s="28"/>
      <c r="ADP16" s="28"/>
      <c r="ADQ16" s="135"/>
      <c r="ADR16" s="28"/>
      <c r="ADS16" s="28"/>
      <c r="ADT16" s="28"/>
      <c r="ADU16" s="28"/>
      <c r="ADV16" s="28"/>
      <c r="ADW16" s="72"/>
      <c r="ADX16" s="28"/>
      <c r="ADY16" s="28"/>
      <c r="ADZ16" s="28"/>
      <c r="AEA16" s="28"/>
      <c r="AEB16" s="28"/>
      <c r="AEC16" s="135"/>
      <c r="AED16" s="28"/>
      <c r="AEE16" s="28"/>
      <c r="AEF16" s="28"/>
      <c r="AEG16" s="28"/>
      <c r="AEH16" s="28"/>
      <c r="AEI16" s="72"/>
      <c r="AEJ16" s="66"/>
      <c r="AEK16" s="66"/>
      <c r="AEL16" s="66"/>
      <c r="AEM16" s="66"/>
      <c r="AEN16" s="28"/>
      <c r="AEO16" s="13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27"/>
      <c r="AFO16" s="66"/>
      <c r="AFP16" s="66"/>
      <c r="AFQ16" s="66"/>
      <c r="AFR16" s="28"/>
      <c r="AFS16" s="130"/>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89"/>
    </row>
    <row r="17" spans="1:1086" ht="20.100000000000001" customHeight="1">
      <c r="A17" s="99" t="s">
        <v>18</v>
      </c>
      <c r="B17" s="62" t="str">
        <f>IF(LEN(C19)=0,"",C19)</f>
        <v>Doc - Rapport</v>
      </c>
      <c r="C17" s="215" t="s">
        <v>15</v>
      </c>
      <c r="D17" s="145" t="str">
        <f t="shared" si="0"/>
        <v>1h45min</v>
      </c>
      <c r="E17" s="30">
        <v>21</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63"/>
      <c r="SZ17" s="32"/>
      <c r="TA17" s="136"/>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63"/>
      <c r="XP17" s="32"/>
      <c r="XQ17" s="136"/>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63"/>
      <c r="ACF17" s="32"/>
      <c r="ACG17" s="136"/>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63"/>
      <c r="AJD17" s="32"/>
      <c r="AJE17" s="136"/>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086" ht="20.100000000000001" customHeight="1">
      <c r="A18" s="99" t="s">
        <v>19</v>
      </c>
      <c r="B18" s="62" t="str">
        <f>IF(LEN(C21)=0,"",C21)</f>
        <v>Conc - annalyse</v>
      </c>
      <c r="C18" s="216"/>
      <c r="D18" s="147" t="str">
        <f t="shared" si="0"/>
        <v>1h</v>
      </c>
      <c r="E18" s="34">
        <v>12</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64"/>
      <c r="SZ18" s="36"/>
      <c r="TA18" s="137"/>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36"/>
      <c r="VQ18" s="36"/>
      <c r="VR18" s="36"/>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64"/>
      <c r="XP18" s="36"/>
      <c r="XQ18" s="137"/>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64"/>
      <c r="ZX18" s="36"/>
      <c r="ZY18" s="137"/>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64"/>
      <c r="ACF18" s="36"/>
      <c r="ACG18" s="137"/>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64"/>
      <c r="AJD18" s="36"/>
      <c r="AJE18" s="137"/>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89"/>
    </row>
    <row r="19" spans="1:1086" ht="20.100000000000001" customHeight="1">
      <c r="A19" s="99" t="s">
        <v>18</v>
      </c>
      <c r="B19" s="62" t="str">
        <f>IF(LEN(C23)=0,"",C23)</f>
        <v>Doc - Planning</v>
      </c>
      <c r="C19" s="215" t="s">
        <v>50</v>
      </c>
      <c r="D19" s="145" t="str">
        <f t="shared" si="0"/>
        <v>3h</v>
      </c>
      <c r="E19" s="38">
        <v>36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086" ht="20.100000000000001" customHeight="1">
      <c r="A20" s="99" t="s">
        <v>19</v>
      </c>
      <c r="B20" s="62" t="str">
        <f>IF(LEN(C25)=0,"",C25)</f>
        <v>App - Système de login</v>
      </c>
      <c r="C20" s="217"/>
      <c r="D20" s="146" t="str">
        <f t="shared" si="0"/>
        <v>1h15min</v>
      </c>
      <c r="E20" s="26">
        <v>15</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27"/>
      <c r="AHW20" s="66"/>
      <c r="AHX20" s="66"/>
      <c r="AHY20" s="66"/>
      <c r="AHZ20" s="28"/>
      <c r="AIA20" s="130"/>
      <c r="AIB20" s="28"/>
      <c r="AIC20" s="28"/>
      <c r="AID20" s="28"/>
      <c r="AIE20" s="28"/>
      <c r="AIF20" s="28"/>
      <c r="AIG20" s="135"/>
      <c r="AIH20" s="28"/>
      <c r="AII20" s="28"/>
      <c r="AIJ20" s="28"/>
      <c r="AIK20" s="28"/>
      <c r="AIL20" s="28"/>
      <c r="AIM20" s="74"/>
      <c r="AIN20" s="28"/>
      <c r="AIO20" s="28"/>
      <c r="AIP20" s="28"/>
      <c r="AIQ20" s="28"/>
      <c r="AIR20" s="28"/>
      <c r="AIS20" s="135"/>
      <c r="AIT20" s="28"/>
      <c r="AIU20" s="28"/>
      <c r="AIV20" s="28"/>
      <c r="AIW20" s="28"/>
      <c r="AIX20" s="28"/>
      <c r="AIY20" s="74"/>
      <c r="AIZ20" s="66"/>
      <c r="AJA20" s="66"/>
      <c r="AJB20" s="66"/>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89"/>
    </row>
    <row r="21" spans="1:1086" ht="20.100000000000001" customHeight="1">
      <c r="A21" s="99" t="s">
        <v>18</v>
      </c>
      <c r="B21" s="62" t="str">
        <f>IF(LEN(C27)=0,"",C27)</f>
        <v>App - Création de comptes</v>
      </c>
      <c r="C21" s="215"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086" ht="20.100000000000001" customHeight="1">
      <c r="A22" s="99" t="s">
        <v>19</v>
      </c>
      <c r="B22" s="62" t="str">
        <f>IF(LEN(C29)=0,"",C29)</f>
        <v>App - Système de saisie</v>
      </c>
      <c r="C22" s="217"/>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89"/>
    </row>
    <row r="23" spans="1:1086" ht="20.100000000000001" customHeight="1">
      <c r="A23" s="99" t="s">
        <v>18</v>
      </c>
      <c r="B23" s="62" t="str">
        <f>IF(LEN(C31)=0,"",C31)</f>
        <v>App - Système de recherche</v>
      </c>
      <c r="C23" s="215" t="s">
        <v>56</v>
      </c>
      <c r="D23" s="145" t="str">
        <f t="shared" si="0"/>
        <v>0h45min</v>
      </c>
      <c r="E23" s="38">
        <v>9</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39"/>
      <c r="NC23" s="65"/>
      <c r="ND23" s="65"/>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39"/>
      <c r="PK23" s="65"/>
      <c r="PL23" s="65"/>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086" ht="20.100000000000001" customHeight="1">
      <c r="A24" s="99" t="s">
        <v>19</v>
      </c>
      <c r="B24" s="62" t="str">
        <f>IF(LEN(C33)=0,"",C33)</f>
        <v>App - Compte recherche/saisie</v>
      </c>
      <c r="C24" s="216"/>
      <c r="D24" s="146" t="str">
        <f t="shared" si="0"/>
        <v>1h</v>
      </c>
      <c r="E24" s="26">
        <v>12</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28"/>
      <c r="NU24" s="28"/>
      <c r="NV24" s="28"/>
      <c r="NW24" s="28"/>
      <c r="NX24" s="28"/>
      <c r="NY24" s="13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28"/>
      <c r="AFU24" s="28"/>
      <c r="AFV24" s="28"/>
      <c r="AFW24" s="28"/>
      <c r="AFX24" s="28"/>
      <c r="AFY24" s="13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89"/>
    </row>
    <row r="25" spans="1:1086" ht="20.100000000000001" customHeight="1">
      <c r="A25" s="99" t="s">
        <v>18</v>
      </c>
      <c r="B25" s="62" t="str">
        <f>IF(LEN(C35)=0,"",C35)</f>
        <v>App - Compte recherche uniqu.</v>
      </c>
      <c r="C25" s="215"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086" ht="20.100000000000001" customHeight="1">
      <c r="A26" s="99" t="s">
        <v>19</v>
      </c>
      <c r="B26" s="62" t="str">
        <f>IF(LEN(C37)=0,"",C37)</f>
        <v>App - Système de statistique</v>
      </c>
      <c r="C26" s="217"/>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89"/>
    </row>
    <row r="27" spans="1:1086" ht="20.100000000000001" customHeight="1">
      <c r="A27" s="99" t="s">
        <v>18</v>
      </c>
      <c r="B27" s="62" t="str">
        <f>IF(LEN(C39)=0,"",C39)</f>
        <v>Data - Création de la base de données</v>
      </c>
      <c r="C27" s="215"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086" ht="20.100000000000001" customHeight="1">
      <c r="A28" s="99" t="s">
        <v>19</v>
      </c>
      <c r="B28" s="62" t="str">
        <f>IF(LEN(C41)=0,"",C41)</f>
        <v>Data - Schéma base de données</v>
      </c>
      <c r="C28" s="217"/>
      <c r="D28" s="147" t="str">
        <f t="shared" si="0"/>
        <v>10h45min</v>
      </c>
      <c r="E28" s="26">
        <v>129</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28"/>
      <c r="OA28" s="28"/>
      <c r="OB28" s="28"/>
      <c r="OC28" s="28"/>
      <c r="OD28" s="28"/>
      <c r="OE28" s="72"/>
      <c r="OF28" s="66"/>
      <c r="OG28" s="66"/>
      <c r="OH28" s="66"/>
      <c r="OI28" s="66"/>
      <c r="OJ28" s="28"/>
      <c r="OK28" s="13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89"/>
    </row>
    <row r="29" spans="1:1086" ht="20.100000000000001" customHeight="1">
      <c r="A29" s="99" t="s">
        <v>18</v>
      </c>
      <c r="B29" s="62" t="str">
        <f>IF(LEN(C43)=0,"",C43)</f>
        <v>App - Design du site</v>
      </c>
      <c r="C29" s="215" t="s">
        <v>59</v>
      </c>
      <c r="D29" s="145" t="str">
        <f t="shared" si="0"/>
        <v>0h</v>
      </c>
      <c r="E29" s="30">
        <v>0</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32"/>
      <c r="SK29" s="32"/>
      <c r="SL29" s="32"/>
      <c r="SM29" s="32"/>
      <c r="SN29" s="32"/>
      <c r="SO29" s="136"/>
      <c r="SP29" s="32"/>
      <c r="SQ29" s="32"/>
      <c r="SR29" s="32"/>
      <c r="SS29" s="32"/>
      <c r="ST29" s="32"/>
      <c r="SU29" s="73"/>
      <c r="SV29" s="63"/>
      <c r="SW29" s="63"/>
      <c r="SX29" s="63"/>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31"/>
      <c r="UA29" s="63"/>
      <c r="UB29" s="63"/>
      <c r="UC29" s="63"/>
      <c r="UD29" s="32"/>
      <c r="UE29" s="131"/>
      <c r="UF29" s="32"/>
      <c r="UG29" s="32"/>
      <c r="UH29" s="32"/>
      <c r="UI29" s="32"/>
      <c r="UJ29" s="32"/>
      <c r="UK29" s="136"/>
      <c r="UL29" s="32"/>
      <c r="UM29" s="32"/>
      <c r="UN29" s="32"/>
      <c r="UO29" s="32"/>
      <c r="UP29" s="32"/>
      <c r="UQ29" s="73"/>
      <c r="UR29" s="32"/>
      <c r="US29" s="32"/>
      <c r="UT29" s="32"/>
      <c r="UU29" s="32"/>
      <c r="UV29" s="32"/>
      <c r="UW29" s="136"/>
      <c r="UX29" s="32"/>
      <c r="UY29" s="32"/>
      <c r="UZ29" s="32"/>
      <c r="VA29" s="32"/>
      <c r="VB29" s="32"/>
      <c r="VC29" s="73"/>
      <c r="VD29" s="63"/>
      <c r="VE29" s="63"/>
      <c r="VF29" s="63"/>
      <c r="VG29" s="63"/>
      <c r="VH29" s="32"/>
      <c r="VI29" s="136"/>
      <c r="VJ29" s="32"/>
      <c r="VK29" s="32"/>
      <c r="VL29" s="32"/>
      <c r="VM29" s="32"/>
      <c r="VN29" s="32"/>
      <c r="VO29" s="73"/>
      <c r="VP29" s="32"/>
      <c r="VQ29" s="32"/>
      <c r="VR29" s="32"/>
      <c r="VS29" s="32"/>
      <c r="VT29" s="32"/>
      <c r="VU29" s="136"/>
      <c r="VV29" s="32"/>
      <c r="VW29" s="32"/>
      <c r="VX29" s="32"/>
      <c r="VY29" s="32"/>
      <c r="VZ29" s="32"/>
      <c r="WA29" s="73"/>
      <c r="WB29" s="32"/>
      <c r="WC29" s="32"/>
      <c r="WD29" s="32"/>
      <c r="WE29" s="32"/>
      <c r="WF29" s="32"/>
      <c r="WG29" s="33"/>
      <c r="WH29" s="31"/>
      <c r="WI29" s="63"/>
      <c r="WJ29" s="63"/>
      <c r="WK29" s="63"/>
      <c r="WL29" s="32"/>
      <c r="WM29" s="131"/>
      <c r="WN29" s="32"/>
      <c r="WO29" s="32"/>
      <c r="WP29" s="32"/>
      <c r="WQ29" s="32"/>
      <c r="WR29" s="32"/>
      <c r="WS29" s="136"/>
      <c r="WT29" s="32"/>
      <c r="WU29" s="32"/>
      <c r="WV29" s="32"/>
      <c r="WW29" s="32"/>
      <c r="WX29" s="32"/>
      <c r="WY29" s="73"/>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086" ht="20.100000000000001" customHeight="1">
      <c r="A30" s="99" t="s">
        <v>19</v>
      </c>
      <c r="B30" s="62" t="str">
        <f>IF(LEN(C45)=0,"",C45)</f>
        <v>App - Modifier état des vélos</v>
      </c>
      <c r="C30" s="217"/>
      <c r="D30" s="147" t="str">
        <f t="shared" si="0"/>
        <v>0h</v>
      </c>
      <c r="E30" s="34">
        <v>0</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36"/>
      <c r="QI30" s="36"/>
      <c r="QJ30" s="36"/>
      <c r="QK30" s="36"/>
      <c r="QL30" s="36"/>
      <c r="QM30" s="74"/>
      <c r="QN30" s="64"/>
      <c r="QO30" s="64"/>
      <c r="QP30" s="64"/>
      <c r="QQ30" s="64"/>
      <c r="QR30" s="36"/>
      <c r="QS30" s="137"/>
      <c r="QT30" s="36"/>
      <c r="QU30" s="36"/>
      <c r="QV30" s="36"/>
      <c r="QW30" s="36"/>
      <c r="QX30" s="36"/>
      <c r="QY30" s="74"/>
      <c r="QZ30" s="36"/>
      <c r="RA30" s="36"/>
      <c r="RB30" s="36"/>
      <c r="RC30" s="36"/>
      <c r="RD30" s="36"/>
      <c r="RE30" s="137"/>
      <c r="RF30" s="36"/>
      <c r="RG30" s="36"/>
      <c r="RH30" s="36"/>
      <c r="RI30" s="36"/>
      <c r="RJ30" s="36"/>
      <c r="RK30" s="74"/>
      <c r="RL30" s="36"/>
      <c r="RM30" s="36"/>
      <c r="RN30" s="36"/>
      <c r="RO30" s="36"/>
      <c r="RP30" s="36"/>
      <c r="RQ30" s="37"/>
      <c r="RR30" s="35"/>
      <c r="RS30" s="64"/>
      <c r="RT30" s="64"/>
      <c r="RU30" s="64"/>
      <c r="RV30" s="36"/>
      <c r="RW30" s="132"/>
      <c r="RX30" s="36"/>
      <c r="RY30" s="36"/>
      <c r="RZ30" s="36"/>
      <c r="SA30" s="36"/>
      <c r="SB30" s="36"/>
      <c r="SC30" s="137"/>
      <c r="SD30" s="36"/>
      <c r="SE30" s="36"/>
      <c r="SF30" s="36"/>
      <c r="SG30" s="36"/>
      <c r="SH30" s="36"/>
      <c r="SI30" s="74"/>
      <c r="SJ30" s="36"/>
      <c r="SK30" s="36"/>
      <c r="SL30" s="36"/>
      <c r="SM30" s="36"/>
      <c r="SN30" s="36"/>
      <c r="SO30" s="137"/>
      <c r="SP30" s="36"/>
      <c r="SQ30" s="36"/>
      <c r="SR30" s="36"/>
      <c r="SS30" s="36"/>
      <c r="ST30" s="36"/>
      <c r="SU30" s="74"/>
      <c r="SV30" s="64"/>
      <c r="SW30" s="64"/>
      <c r="SX30" s="64"/>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35"/>
      <c r="UA30" s="64"/>
      <c r="UB30" s="64"/>
      <c r="UC30" s="64"/>
      <c r="UD30" s="36"/>
      <c r="UE30" s="132"/>
      <c r="UF30" s="36"/>
      <c r="UG30" s="36"/>
      <c r="UH30" s="36"/>
      <c r="UI30" s="36"/>
      <c r="UJ30" s="36"/>
      <c r="UK30" s="137"/>
      <c r="UL30" s="36"/>
      <c r="UM30" s="36"/>
      <c r="UN30" s="36"/>
      <c r="UO30" s="36"/>
      <c r="UP30" s="36"/>
      <c r="UQ30" s="74"/>
      <c r="UR30" s="36"/>
      <c r="US30" s="36"/>
      <c r="UT30" s="36"/>
      <c r="UU30" s="36"/>
      <c r="UV30" s="36"/>
      <c r="UW30" s="137"/>
      <c r="UX30" s="36"/>
      <c r="UY30" s="36"/>
      <c r="UZ30" s="36"/>
      <c r="VA30" s="36"/>
      <c r="VB30" s="36"/>
      <c r="VC30" s="74"/>
      <c r="VD30" s="64"/>
      <c r="VE30" s="64"/>
      <c r="VF30" s="64"/>
      <c r="VG30" s="64"/>
      <c r="VH30" s="36"/>
      <c r="VI30" s="137"/>
      <c r="VJ30" s="36"/>
      <c r="VK30" s="36"/>
      <c r="VL30" s="36"/>
      <c r="VM30" s="36"/>
      <c r="VN30" s="36"/>
      <c r="VO30" s="74"/>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89"/>
    </row>
    <row r="31" spans="1:1086" ht="20.100000000000001" customHeight="1">
      <c r="A31" s="99" t="s">
        <v>18</v>
      </c>
      <c r="B31" s="62" t="str">
        <f>IF(LEN(C47)=0,"",C47)</f>
        <v>App - Création compte recherche</v>
      </c>
      <c r="C31" s="215" t="s">
        <v>60</v>
      </c>
      <c r="D31" s="145" t="str">
        <f t="shared" si="0"/>
        <v>0h</v>
      </c>
      <c r="E31" s="38">
        <v>0</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65"/>
      <c r="NF31" s="40"/>
      <c r="NG31" s="133"/>
      <c r="NH31" s="40"/>
      <c r="NI31" s="40"/>
      <c r="NJ31" s="40"/>
      <c r="NK31" s="40"/>
      <c r="NL31" s="40"/>
      <c r="NM31" s="138"/>
      <c r="NN31" s="40"/>
      <c r="NO31" s="40"/>
      <c r="NP31" s="40"/>
      <c r="NQ31" s="40"/>
      <c r="NR31" s="40"/>
      <c r="NS31" s="75"/>
      <c r="NT31" s="40"/>
      <c r="NU31" s="40"/>
      <c r="NV31" s="40"/>
      <c r="NW31" s="40"/>
      <c r="NX31" s="40"/>
      <c r="NY31" s="138"/>
      <c r="NZ31" s="40"/>
      <c r="OA31" s="40"/>
      <c r="OB31" s="40"/>
      <c r="OC31" s="40"/>
      <c r="OD31" s="40"/>
      <c r="OE31" s="75"/>
      <c r="OF31" s="65"/>
      <c r="OG31" s="65"/>
      <c r="OH31" s="65"/>
      <c r="OI31" s="65"/>
      <c r="OJ31" s="40"/>
      <c r="OK31" s="138"/>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65"/>
      <c r="PN31" s="40"/>
      <c r="PO31" s="133"/>
      <c r="PP31" s="40"/>
      <c r="PQ31" s="40"/>
      <c r="PR31" s="40"/>
      <c r="PS31" s="40"/>
      <c r="PT31" s="40"/>
      <c r="PU31" s="138"/>
      <c r="PV31" s="40"/>
      <c r="PW31" s="40"/>
      <c r="PX31" s="40"/>
      <c r="PY31" s="40"/>
      <c r="PZ31" s="40"/>
      <c r="QA31" s="75"/>
      <c r="QB31" s="40"/>
      <c r="QC31" s="40"/>
      <c r="QD31" s="40"/>
      <c r="QE31" s="40"/>
      <c r="QF31" s="40"/>
      <c r="QG31" s="138"/>
      <c r="QH31" s="40"/>
      <c r="QI31" s="40"/>
      <c r="QJ31" s="40"/>
      <c r="QK31" s="40"/>
      <c r="QL31" s="40"/>
      <c r="QM31" s="75"/>
      <c r="QN31" s="65"/>
      <c r="QO31" s="65"/>
      <c r="QP31" s="65"/>
      <c r="QQ31" s="65"/>
      <c r="QR31" s="40"/>
      <c r="QS31" s="138"/>
      <c r="QT31" s="40"/>
      <c r="QU31" s="40"/>
      <c r="QV31" s="40"/>
      <c r="QW31" s="40"/>
      <c r="QX31" s="40"/>
      <c r="QY31" s="75"/>
      <c r="QZ31" s="40"/>
      <c r="RA31" s="40"/>
      <c r="RB31" s="40"/>
      <c r="RC31" s="40"/>
      <c r="RD31" s="40"/>
      <c r="RE31" s="138"/>
      <c r="RF31" s="40"/>
      <c r="RG31" s="40"/>
      <c r="RH31" s="40"/>
      <c r="RI31" s="40"/>
      <c r="RJ31" s="40"/>
      <c r="RK31" s="75"/>
      <c r="RL31" s="40"/>
      <c r="RM31" s="40"/>
      <c r="RN31" s="40"/>
      <c r="RO31" s="40"/>
      <c r="RP31" s="40"/>
      <c r="RQ31" s="41"/>
      <c r="RR31" s="39"/>
      <c r="RS31" s="65"/>
      <c r="RT31" s="65"/>
      <c r="RU31" s="65"/>
      <c r="RV31" s="40"/>
      <c r="RW31" s="133"/>
      <c r="RX31" s="40"/>
      <c r="RY31" s="40"/>
      <c r="RZ31" s="40"/>
      <c r="SA31" s="40"/>
      <c r="SB31" s="40"/>
      <c r="SC31" s="138"/>
      <c r="SD31" s="40"/>
      <c r="SE31" s="40"/>
      <c r="SF31" s="40"/>
      <c r="SG31" s="40"/>
      <c r="SH31" s="40"/>
      <c r="SI31" s="75"/>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39"/>
      <c r="AFO31" s="65"/>
      <c r="AFP31" s="65"/>
      <c r="AFQ31" s="65"/>
      <c r="AFR31" s="40"/>
      <c r="AFS31" s="133"/>
      <c r="AFT31" s="40"/>
      <c r="AFU31" s="40"/>
      <c r="AFV31" s="40"/>
      <c r="AFW31" s="40"/>
      <c r="AFX31" s="40"/>
      <c r="AFY31" s="138"/>
      <c r="AFZ31" s="40"/>
      <c r="AGA31" s="40"/>
      <c r="AGB31" s="40"/>
      <c r="AGC31" s="40"/>
      <c r="AGD31" s="40"/>
      <c r="AGE31" s="75"/>
      <c r="AGF31" s="40"/>
      <c r="AGG31" s="40"/>
      <c r="AGH31" s="40"/>
      <c r="AGI31" s="40"/>
      <c r="AGJ31" s="40"/>
      <c r="AGK31" s="138"/>
      <c r="AGL31" s="40"/>
      <c r="AGM31" s="40"/>
      <c r="AGN31" s="40"/>
      <c r="AGO31" s="40"/>
      <c r="AGP31" s="40"/>
      <c r="AGQ31" s="75"/>
      <c r="AGR31" s="65"/>
      <c r="AGS31" s="65"/>
      <c r="AGT31" s="65"/>
      <c r="AGU31" s="65"/>
      <c r="AGV31" s="40"/>
      <c r="AGW31" s="138"/>
      <c r="AGX31" s="40"/>
      <c r="AGY31" s="40"/>
      <c r="AGZ31" s="40"/>
      <c r="AHA31" s="40"/>
      <c r="AHB31" s="40"/>
      <c r="AHC31" s="75"/>
      <c r="AHD31" s="40"/>
      <c r="AHE31" s="40"/>
      <c r="AHF31" s="40"/>
      <c r="AHG31" s="40"/>
      <c r="AHH31" s="40"/>
      <c r="AHI31" s="138"/>
      <c r="AHJ31" s="40"/>
      <c r="AHK31" s="40"/>
      <c r="AHL31" s="40"/>
      <c r="AHM31" s="40"/>
      <c r="AHN31" s="40"/>
      <c r="AHO31" s="75"/>
      <c r="AHP31" s="40"/>
      <c r="AHQ31" s="40"/>
      <c r="AHR31" s="40"/>
      <c r="AHS31" s="40"/>
      <c r="AHT31" s="40"/>
      <c r="AHU31" s="41"/>
      <c r="AHV31" s="39"/>
      <c r="AHW31" s="65"/>
      <c r="AHX31" s="65"/>
      <c r="AHY31" s="65"/>
      <c r="AHZ31" s="40"/>
      <c r="AIA31" s="133"/>
      <c r="AIB31" s="40"/>
      <c r="AIC31" s="40"/>
      <c r="AID31" s="40"/>
      <c r="AIE31" s="40"/>
      <c r="AIF31" s="40"/>
      <c r="AIG31" s="138"/>
      <c r="AIH31" s="40"/>
      <c r="AII31" s="40"/>
      <c r="AIJ31" s="40"/>
      <c r="AIK31" s="40"/>
      <c r="AIL31" s="40"/>
      <c r="AIM31" s="75"/>
      <c r="AIN31" s="40"/>
      <c r="AIO31" s="40"/>
      <c r="AIP31" s="40"/>
      <c r="AIQ31" s="40"/>
      <c r="AIR31" s="40"/>
      <c r="AIS31" s="138"/>
      <c r="AIT31" s="40"/>
      <c r="AIU31" s="40"/>
      <c r="AIV31" s="40"/>
      <c r="AIW31" s="40"/>
      <c r="AIX31" s="40"/>
      <c r="AIY31" s="75"/>
      <c r="AIZ31" s="65"/>
      <c r="AJA31" s="65"/>
      <c r="AJB31" s="65"/>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086" ht="20.100000000000001" customHeight="1">
      <c r="A32" s="99" t="s">
        <v>19</v>
      </c>
      <c r="B32" s="62" t="str">
        <f>IF(LEN(C49)=0,"",C49)</f>
        <v/>
      </c>
      <c r="C32" s="217"/>
      <c r="D32" s="147" t="str">
        <f t="shared" si="0"/>
        <v>0h</v>
      </c>
      <c r="E32" s="26">
        <v>0</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27"/>
      <c r="WI32" s="66"/>
      <c r="WJ32" s="66"/>
      <c r="WK32" s="66"/>
      <c r="WL32" s="28"/>
      <c r="WM32" s="130"/>
      <c r="WN32" s="28"/>
      <c r="WO32" s="28"/>
      <c r="WP32" s="28"/>
      <c r="WQ32" s="28"/>
      <c r="WR32" s="28"/>
      <c r="WS32" s="135"/>
      <c r="WT32" s="28"/>
      <c r="WU32" s="28"/>
      <c r="WV32" s="28"/>
      <c r="WW32" s="28"/>
      <c r="WX32" s="28"/>
      <c r="WY32" s="72"/>
      <c r="WZ32" s="28"/>
      <c r="XA32" s="28"/>
      <c r="XB32" s="28"/>
      <c r="XC32" s="28"/>
      <c r="XD32" s="28"/>
      <c r="XE32" s="135"/>
      <c r="XF32" s="28"/>
      <c r="XG32" s="28"/>
      <c r="XH32" s="28"/>
      <c r="XI32" s="28"/>
      <c r="XJ32" s="28"/>
      <c r="XK32" s="72"/>
      <c r="XL32" s="66"/>
      <c r="XM32" s="66"/>
      <c r="XN32" s="66"/>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27"/>
      <c r="YQ32" s="66"/>
      <c r="YR32" s="66"/>
      <c r="YS32" s="66"/>
      <c r="YT32" s="28"/>
      <c r="YU32" s="130"/>
      <c r="YV32" s="28"/>
      <c r="YW32" s="28"/>
      <c r="YX32" s="28"/>
      <c r="YY32" s="28"/>
      <c r="YZ32" s="28"/>
      <c r="ZA32" s="135"/>
      <c r="ZB32" s="28"/>
      <c r="ZC32" s="28"/>
      <c r="ZD32" s="28"/>
      <c r="ZE32" s="28"/>
      <c r="ZF32" s="28"/>
      <c r="ZG32" s="72"/>
      <c r="ZH32" s="28"/>
      <c r="ZI32" s="28"/>
      <c r="ZJ32" s="28"/>
      <c r="ZK32" s="28"/>
      <c r="ZL32" s="28"/>
      <c r="ZM32" s="135"/>
      <c r="ZN32" s="28"/>
      <c r="ZO32" s="28"/>
      <c r="ZP32" s="28"/>
      <c r="ZQ32" s="28"/>
      <c r="ZR32" s="28"/>
      <c r="ZS32" s="72"/>
      <c r="ZT32" s="66"/>
      <c r="ZU32" s="66"/>
      <c r="ZV32" s="66"/>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89"/>
    </row>
    <row r="33" spans="1:1086" ht="20.100000000000001" customHeight="1">
      <c r="A33" s="99" t="s">
        <v>18</v>
      </c>
      <c r="B33" s="62" t="str">
        <f>IF(LEN(C51)=0,"",C51)</f>
        <v/>
      </c>
      <c r="C33" s="215"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086" ht="20.100000000000001" customHeight="1">
      <c r="A34" s="99" t="s">
        <v>19</v>
      </c>
      <c r="B34" s="62" t="str">
        <f>IF(LEN(C53)=0,"",C53)</f>
        <v/>
      </c>
      <c r="C34" s="217"/>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89"/>
    </row>
    <row r="35" spans="1:1086" ht="20.100000000000001" customHeight="1">
      <c r="A35" s="99" t="s">
        <v>18</v>
      </c>
      <c r="B35" s="62" t="str">
        <f>IF(LEN(C55)=0,"",C55)</f>
        <v/>
      </c>
      <c r="C35" s="215" t="s">
        <v>62</v>
      </c>
      <c r="D35" s="145" t="str">
        <f t="shared" si="0"/>
        <v>0h</v>
      </c>
      <c r="E35" s="38">
        <v>0</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40"/>
      <c r="XA35" s="40"/>
      <c r="XB35" s="40"/>
      <c r="XC35" s="40"/>
      <c r="XD35" s="40"/>
      <c r="XE35" s="138"/>
      <c r="XF35" s="40"/>
      <c r="XG35" s="40"/>
      <c r="XH35" s="40"/>
      <c r="XI35" s="40"/>
      <c r="XJ35" s="40"/>
      <c r="XK35" s="75"/>
      <c r="XL35" s="65"/>
      <c r="XM35" s="65"/>
      <c r="XN35" s="65"/>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39"/>
      <c r="YQ35" s="65"/>
      <c r="YR35" s="65"/>
      <c r="YS35" s="65"/>
      <c r="YT35" s="40"/>
      <c r="YU35" s="133"/>
      <c r="YV35" s="40"/>
      <c r="YW35" s="40"/>
      <c r="YX35" s="40"/>
      <c r="YY35" s="40"/>
      <c r="YZ35" s="40"/>
      <c r="ZA35" s="138"/>
      <c r="ZB35" s="40"/>
      <c r="ZC35" s="40"/>
      <c r="ZD35" s="40"/>
      <c r="ZE35" s="40"/>
      <c r="ZF35" s="40"/>
      <c r="ZG35" s="75"/>
      <c r="ZH35" s="40"/>
      <c r="ZI35" s="40"/>
      <c r="ZJ35" s="40"/>
      <c r="ZK35" s="40"/>
      <c r="ZL35" s="40"/>
      <c r="ZM35" s="138"/>
      <c r="ZN35" s="40"/>
      <c r="ZO35" s="40"/>
      <c r="ZP35" s="40"/>
      <c r="ZQ35" s="40"/>
      <c r="ZR35" s="40"/>
      <c r="ZS35" s="75"/>
      <c r="ZT35" s="65"/>
      <c r="ZU35" s="65"/>
      <c r="ZV35" s="65"/>
      <c r="ZW35" s="65"/>
      <c r="ZX35" s="40"/>
      <c r="ZY35" s="138"/>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086" ht="20.100000000000001" customHeight="1">
      <c r="A36" s="99" t="s">
        <v>19</v>
      </c>
      <c r="B36" s="62" t="str">
        <f>IF(LEN(C57)=0,"",C57)</f>
        <v/>
      </c>
      <c r="C36" s="217"/>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89"/>
    </row>
    <row r="37" spans="1:1086" ht="20.100000000000001" customHeight="1">
      <c r="A37" s="99" t="s">
        <v>18</v>
      </c>
      <c r="B37" s="62" t="str">
        <f>IF(LEN(C59)=0,"",C59)</f>
        <v/>
      </c>
      <c r="C37" s="215" t="s">
        <v>63</v>
      </c>
      <c r="D37" s="145" t="str">
        <f t="shared" si="0"/>
        <v>0h</v>
      </c>
      <c r="E37" s="30">
        <v>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086" ht="20.100000000000001" customHeight="1">
      <c r="A38" s="99" t="s">
        <v>19</v>
      </c>
      <c r="B38" s="62" t="str">
        <f>IF(LEN(C61)=0,"",C61)</f>
        <v/>
      </c>
      <c r="C38" s="217"/>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89"/>
    </row>
    <row r="39" spans="1:1086" ht="20.100000000000001" customHeight="1">
      <c r="A39" s="99" t="s">
        <v>18</v>
      </c>
      <c r="B39" s="62" t="str">
        <f>IF(LEN(C63)=0,"",C63)</f>
        <v/>
      </c>
      <c r="C39" s="215"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086" ht="20.100000000000001" customHeight="1">
      <c r="A40" s="99" t="s">
        <v>19</v>
      </c>
      <c r="B40" s="62" t="str">
        <f>IF(LEN(C65)=0,"",C65)</f>
        <v/>
      </c>
      <c r="C40" s="217"/>
      <c r="D40" s="146" t="str">
        <f t="shared" si="0"/>
        <v>0h15min</v>
      </c>
      <c r="E40" s="26">
        <v>3</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28"/>
      <c r="NI40" s="28"/>
      <c r="NJ40" s="28"/>
      <c r="NK40" s="28"/>
      <c r="NL40" s="28"/>
      <c r="NM40" s="135"/>
      <c r="NN40" s="28"/>
      <c r="NO40" s="28"/>
      <c r="NP40" s="28"/>
      <c r="NQ40" s="28"/>
      <c r="NR40" s="28"/>
      <c r="NS40" s="72"/>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89"/>
    </row>
    <row r="41" spans="1:1086" ht="20.100000000000001" customHeight="1">
      <c r="A41" s="99" t="s">
        <v>18</v>
      </c>
      <c r="B41" s="62" t="str">
        <f>IF(LEN(C67)=0,"",C67)</f>
        <v/>
      </c>
      <c r="C41" s="215"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086" ht="20.100000000000001" customHeight="1">
      <c r="A42" s="99" t="s">
        <v>19</v>
      </c>
      <c r="B42" s="62" t="str">
        <f>IF(LEN(C69)=0,"",C69)</f>
        <v/>
      </c>
      <c r="C42" s="217"/>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89"/>
    </row>
    <row r="43" spans="1:1086" ht="20.100000000000001" customHeight="1">
      <c r="A43" s="99" t="s">
        <v>18</v>
      </c>
      <c r="B43" s="62" t="str">
        <f>IF(LEN(C71)=0,"",C71)</f>
        <v/>
      </c>
      <c r="C43" s="215" t="s">
        <v>66</v>
      </c>
      <c r="D43" s="145" t="str">
        <f t="shared" si="0"/>
        <v>0h</v>
      </c>
      <c r="E43" s="30">
        <v>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086" ht="20.100000000000001" customHeight="1">
      <c r="A44" s="99" t="s">
        <v>19</v>
      </c>
      <c r="B44" s="62" t="str">
        <f>IF(LEN(C73)=0,"",C73)</f>
        <v/>
      </c>
      <c r="C44" s="217"/>
      <c r="D44" s="147" t="str">
        <f t="shared" si="0"/>
        <v>0h45min</v>
      </c>
      <c r="E44" s="34">
        <v>9</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36"/>
      <c r="PW44" s="36"/>
      <c r="PX44" s="36"/>
      <c r="PY44" s="36"/>
      <c r="PZ44" s="36"/>
      <c r="QA44" s="74"/>
      <c r="QB44" s="36"/>
      <c r="QC44" s="36"/>
      <c r="QD44" s="36"/>
      <c r="QE44" s="36"/>
      <c r="QF44" s="36"/>
      <c r="QG44" s="137"/>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35"/>
      <c r="AAY44" s="64"/>
      <c r="AAZ44" s="64"/>
      <c r="ABA44" s="64"/>
      <c r="ABB44" s="36"/>
      <c r="ABC44" s="132"/>
      <c r="ABD44" s="36"/>
      <c r="ABE44" s="36"/>
      <c r="ABF44" s="36"/>
      <c r="ABG44" s="36"/>
      <c r="ABH44" s="36"/>
      <c r="ABI44" s="137"/>
      <c r="ABJ44" s="36"/>
      <c r="ABK44" s="36"/>
      <c r="ABL44" s="36"/>
      <c r="ABM44" s="36"/>
      <c r="ABN44" s="36"/>
      <c r="ABO44" s="74"/>
      <c r="ABP44" s="36"/>
      <c r="ABQ44" s="36"/>
      <c r="ABR44" s="36"/>
      <c r="ABS44" s="36"/>
      <c r="ABT44" s="36"/>
      <c r="ABU44" s="137"/>
      <c r="ABV44" s="36"/>
      <c r="ABW44" s="36"/>
      <c r="ABX44" s="36"/>
      <c r="ABY44" s="36"/>
      <c r="ABZ44" s="36"/>
      <c r="ACA44" s="74"/>
      <c r="ACB44" s="64"/>
      <c r="ACC44" s="64"/>
      <c r="ACD44" s="64"/>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36"/>
      <c r="AGA44" s="36"/>
      <c r="AGB44" s="36"/>
      <c r="AGC44" s="36"/>
      <c r="AGD44" s="36"/>
      <c r="AGE44" s="74"/>
      <c r="AGF44" s="36"/>
      <c r="AGG44" s="36"/>
      <c r="AGH44" s="36"/>
      <c r="AGI44" s="36"/>
      <c r="AGJ44" s="36"/>
      <c r="AGK44" s="137"/>
      <c r="AGL44" s="36"/>
      <c r="AGM44" s="36"/>
      <c r="AGN44" s="36"/>
      <c r="AGO44" s="36"/>
      <c r="AGP44" s="36"/>
      <c r="AGQ44" s="74"/>
      <c r="AGR44" s="64"/>
      <c r="AGS44" s="64"/>
      <c r="AGT44" s="64"/>
      <c r="AGU44" s="64"/>
      <c r="AGV44" s="36"/>
      <c r="AGW44" s="137"/>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89"/>
    </row>
    <row r="45" spans="1:1086" ht="20.100000000000001" customHeight="1">
      <c r="A45" s="99" t="s">
        <v>18</v>
      </c>
      <c r="B45" s="62" t="str">
        <f>IF(LEN(C75)=0,"",C75)</f>
        <v/>
      </c>
      <c r="C45" s="215" t="s">
        <v>117</v>
      </c>
      <c r="D45" s="145" t="str">
        <f t="shared" si="0"/>
        <v>0h</v>
      </c>
      <c r="E45" s="38">
        <v>0</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39"/>
      <c r="AAY45" s="65"/>
      <c r="AAZ45" s="65"/>
      <c r="ABA45" s="65"/>
      <c r="ABB45" s="40"/>
      <c r="ABC45" s="133"/>
      <c r="ABD45" s="40"/>
      <c r="ABE45" s="40"/>
      <c r="ABF45" s="40"/>
      <c r="ABG45" s="40"/>
      <c r="ABH45" s="40"/>
      <c r="ABI45" s="138"/>
      <c r="ABJ45" s="40"/>
      <c r="ABK45" s="40"/>
      <c r="ABL45" s="40"/>
      <c r="ABM45" s="40"/>
      <c r="ABN45" s="40"/>
      <c r="ABO45" s="75"/>
      <c r="ABP45" s="40"/>
      <c r="ABQ45" s="40"/>
      <c r="ABR45" s="40"/>
      <c r="ABS45" s="40"/>
      <c r="ABT45" s="40"/>
      <c r="ABU45" s="138"/>
      <c r="ABV45" s="40"/>
      <c r="ABW45" s="40"/>
      <c r="ABX45" s="40"/>
      <c r="ABY45" s="40"/>
      <c r="ABZ45" s="40"/>
      <c r="ACA45" s="75"/>
      <c r="ACB45" s="65"/>
      <c r="ACC45" s="65"/>
      <c r="ACD45" s="65"/>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086" ht="20.100000000000001" customHeight="1">
      <c r="A46" s="99" t="s">
        <v>19</v>
      </c>
      <c r="B46" s="62" t="str">
        <f>IF(LEN(C77)=0,"",C77)</f>
        <v/>
      </c>
      <c r="C46" s="217"/>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89"/>
    </row>
    <row r="47" spans="1:1086" ht="20.100000000000001" customHeight="1">
      <c r="A47" s="99" t="s">
        <v>18</v>
      </c>
      <c r="B47" s="62" t="str">
        <f>IF(LEN(C79)=0,"",C79)</f>
        <v/>
      </c>
      <c r="C47" s="215"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086" ht="20.100000000000001" customHeight="1">
      <c r="A48" s="99" t="s">
        <v>19</v>
      </c>
      <c r="B48" s="62" t="str">
        <f>IF(LEN(C81)=0,"",C81)</f>
        <v/>
      </c>
      <c r="C48" s="217"/>
      <c r="D48" s="147" t="str">
        <f t="shared" si="0"/>
        <v>0h</v>
      </c>
      <c r="E48" s="26">
        <v>0</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27"/>
      <c r="PK48" s="66"/>
      <c r="PL48" s="66"/>
      <c r="PM48" s="66"/>
      <c r="PN48" s="28"/>
      <c r="PO48" s="130"/>
      <c r="PP48" s="28"/>
      <c r="PQ48" s="28"/>
      <c r="PR48" s="28"/>
      <c r="PS48" s="28"/>
      <c r="PT48" s="28"/>
      <c r="PU48" s="13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89"/>
    </row>
    <row r="49" spans="1:1086" ht="20.100000000000001" customHeight="1">
      <c r="A49" s="99" t="s">
        <v>18</v>
      </c>
      <c r="B49" s="62" t="str">
        <f>IF(LEN(C83)=0,"",C83)</f>
        <v/>
      </c>
      <c r="C49" s="215"/>
      <c r="D49" s="145" t="str">
        <f t="shared" si="0"/>
        <v>0h</v>
      </c>
      <c r="E49" s="30">
        <v>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086" ht="20.100000000000001" customHeight="1">
      <c r="A50" s="99" t="s">
        <v>19</v>
      </c>
      <c r="B50" s="62" t="str">
        <f>IF(LEN(C85)=0,"",C85)</f>
        <v/>
      </c>
      <c r="C50" s="216"/>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89"/>
    </row>
    <row r="51" spans="1:1086" ht="20.100000000000001" customHeight="1">
      <c r="A51" s="99" t="s">
        <v>18</v>
      </c>
      <c r="B51" s="62" t="str">
        <f>IF(LEN(C87)=0,"",C87)</f>
        <v/>
      </c>
      <c r="C51" s="215"/>
      <c r="D51" s="145" t="str">
        <f t="shared" si="0"/>
        <v>0h</v>
      </c>
      <c r="E51" s="38">
        <v>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086" ht="20.100000000000001" customHeight="1">
      <c r="A52" s="99" t="s">
        <v>19</v>
      </c>
      <c r="B52" s="62" t="str">
        <f>IF(LEN(C89)=0,"",C89)</f>
        <v/>
      </c>
      <c r="C52" s="217"/>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89"/>
    </row>
    <row r="53" spans="1:1086" ht="20.100000000000001" customHeight="1">
      <c r="A53" s="99" t="s">
        <v>18</v>
      </c>
      <c r="B53" s="62" t="str">
        <f>IF(LEN(C91)=0,"",C91)</f>
        <v/>
      </c>
      <c r="C53" s="215"/>
      <c r="D53" s="145" t="str">
        <f t="shared" si="0"/>
        <v>0h</v>
      </c>
      <c r="E53" s="30">
        <v>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086" ht="20.100000000000001" customHeight="1">
      <c r="A54" s="99" t="s">
        <v>19</v>
      </c>
      <c r="B54" s="62" t="str">
        <f>IF(LEN(C93)=0,"",C93)</f>
        <v/>
      </c>
      <c r="C54" s="216"/>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89"/>
    </row>
    <row r="55" spans="1:1086" ht="20.100000000000001" customHeight="1">
      <c r="A55" s="99" t="s">
        <v>18</v>
      </c>
      <c r="B55" s="62"/>
      <c r="C55" s="215"/>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086" ht="20.100000000000001" customHeight="1">
      <c r="A56" s="99" t="s">
        <v>19</v>
      </c>
      <c r="B56" s="62"/>
      <c r="C56" s="217"/>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89"/>
    </row>
    <row r="57" spans="1:1086" ht="20.100000000000001" customHeight="1">
      <c r="A57" s="99" t="s">
        <v>18</v>
      </c>
      <c r="B57" s="62"/>
      <c r="C57" s="215"/>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086" ht="20.100000000000001" customHeight="1">
      <c r="A58" s="99" t="s">
        <v>19</v>
      </c>
      <c r="B58" s="62"/>
      <c r="C58" s="216"/>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89"/>
    </row>
    <row r="59" spans="1:1086" ht="20.100000000000001" customHeight="1">
      <c r="A59" s="99" t="s">
        <v>18</v>
      </c>
      <c r="B59" s="62"/>
      <c r="C59" s="215"/>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086" ht="20.100000000000001" customHeight="1">
      <c r="A60" s="99" t="s">
        <v>19</v>
      </c>
      <c r="B60" s="62"/>
      <c r="C60" s="216"/>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89"/>
    </row>
    <row r="61" spans="1:1086" ht="20.100000000000001" customHeight="1">
      <c r="A61" s="99" t="s">
        <v>18</v>
      </c>
      <c r="B61" s="62"/>
      <c r="C61" s="215"/>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086" ht="20.100000000000001" customHeight="1">
      <c r="A62" s="99" t="s">
        <v>19</v>
      </c>
      <c r="B62" s="62"/>
      <c r="C62" s="217"/>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89"/>
    </row>
    <row r="63" spans="1:1086" ht="20.100000000000001" customHeight="1">
      <c r="A63" s="99" t="s">
        <v>18</v>
      </c>
      <c r="B63" s="62"/>
      <c r="C63" s="215"/>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086" ht="20.100000000000001" customHeight="1">
      <c r="A64" s="99" t="s">
        <v>19</v>
      </c>
      <c r="B64" s="62"/>
      <c r="C64" s="216"/>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89"/>
    </row>
    <row r="65" spans="1:1086" ht="20.100000000000001" customHeight="1">
      <c r="A65" s="99" t="s">
        <v>18</v>
      </c>
      <c r="B65" s="62"/>
      <c r="C65" s="215"/>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086" ht="20.100000000000001" customHeight="1">
      <c r="A66" s="99" t="s">
        <v>19</v>
      </c>
      <c r="B66" s="62"/>
      <c r="C66" s="216"/>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89"/>
    </row>
    <row r="67" spans="1:1086" ht="20.100000000000001" customHeight="1">
      <c r="A67" s="99" t="s">
        <v>18</v>
      </c>
      <c r="B67" s="62"/>
      <c r="C67" s="215"/>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086" ht="20.100000000000001" customHeight="1">
      <c r="A68" s="99" t="s">
        <v>19</v>
      </c>
      <c r="B68" s="62"/>
      <c r="C68" s="217"/>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89"/>
    </row>
    <row r="69" spans="1:1086" ht="20.100000000000001" customHeight="1">
      <c r="A69" s="99" t="s">
        <v>18</v>
      </c>
      <c r="B69" s="62"/>
      <c r="C69" s="215"/>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086" ht="20.100000000000001" customHeight="1">
      <c r="A70" s="99" t="s">
        <v>19</v>
      </c>
      <c r="B70" s="62"/>
      <c r="C70" s="216"/>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89"/>
    </row>
    <row r="71" spans="1:1086" ht="20.100000000000001" customHeight="1">
      <c r="A71" s="99" t="s">
        <v>18</v>
      </c>
      <c r="B71" s="62"/>
      <c r="C71" s="215"/>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086" ht="20.100000000000001" customHeight="1">
      <c r="A72" s="99" t="s">
        <v>19</v>
      </c>
      <c r="B72" s="62"/>
      <c r="C72" s="217"/>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89"/>
    </row>
    <row r="73" spans="1:1086" ht="20.100000000000001" customHeight="1">
      <c r="A73" s="99" t="s">
        <v>18</v>
      </c>
      <c r="B73" s="62"/>
      <c r="C73" s="215"/>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086" ht="20.100000000000001" customHeight="1">
      <c r="A74" s="99" t="s">
        <v>19</v>
      </c>
      <c r="B74" s="62"/>
      <c r="C74" s="216"/>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89"/>
    </row>
    <row r="75" spans="1:1086" ht="20.100000000000001" customHeight="1">
      <c r="A75" s="99" t="s">
        <v>18</v>
      </c>
      <c r="B75" s="62"/>
      <c r="C75" s="215"/>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086" ht="20.100000000000001" customHeight="1">
      <c r="A76" s="99" t="s">
        <v>19</v>
      </c>
      <c r="B76" s="62"/>
      <c r="C76" s="216"/>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89"/>
    </row>
    <row r="77" spans="1:1086" ht="20.100000000000001" customHeight="1">
      <c r="A77" s="99" t="s">
        <v>18</v>
      </c>
      <c r="B77" s="62"/>
      <c r="C77" s="215"/>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086" ht="20.100000000000001" customHeight="1">
      <c r="A78" s="99" t="s">
        <v>19</v>
      </c>
      <c r="B78" s="62"/>
      <c r="C78" s="217"/>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89"/>
    </row>
    <row r="79" spans="1:1086" ht="20.100000000000001" customHeight="1">
      <c r="A79" s="99" t="s">
        <v>18</v>
      </c>
      <c r="B79" s="62"/>
      <c r="C79" s="215"/>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086" ht="20.100000000000001" customHeight="1">
      <c r="A80" s="99" t="s">
        <v>19</v>
      </c>
      <c r="B80" s="62"/>
      <c r="C80" s="216"/>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89"/>
    </row>
    <row r="81" spans="1:1086" ht="20.100000000000001" customHeight="1">
      <c r="A81" s="99" t="s">
        <v>18</v>
      </c>
      <c r="B81" s="62"/>
      <c r="C81" s="215"/>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086" ht="20.100000000000001" customHeight="1">
      <c r="A82" s="99" t="s">
        <v>19</v>
      </c>
      <c r="B82" s="62"/>
      <c r="C82" s="216"/>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89"/>
    </row>
    <row r="83" spans="1:1086" ht="20.100000000000001" customHeight="1">
      <c r="A83" s="99" t="s">
        <v>18</v>
      </c>
      <c r="B83" s="62"/>
      <c r="C83" s="215"/>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086" ht="20.100000000000001" customHeight="1">
      <c r="A84" s="99" t="s">
        <v>19</v>
      </c>
      <c r="B84" s="62"/>
      <c r="C84" s="217"/>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89"/>
    </row>
    <row r="85" spans="1:1086" ht="20.100000000000001" customHeight="1">
      <c r="A85" s="99" t="s">
        <v>18</v>
      </c>
      <c r="B85" s="62"/>
      <c r="C85" s="215"/>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086" ht="20.100000000000001" customHeight="1">
      <c r="A86" s="99" t="s">
        <v>19</v>
      </c>
      <c r="B86" s="62"/>
      <c r="C86" s="216"/>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89"/>
    </row>
    <row r="87" spans="1:1086" ht="20.100000000000001" customHeight="1">
      <c r="A87" s="99" t="s">
        <v>18</v>
      </c>
      <c r="B87" s="62"/>
      <c r="C87" s="215"/>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086" ht="20.100000000000001" customHeight="1">
      <c r="A88" s="99" t="s">
        <v>19</v>
      </c>
      <c r="B88" s="62"/>
      <c r="C88" s="217"/>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89"/>
    </row>
    <row r="89" spans="1:1086" ht="20.100000000000001" customHeight="1">
      <c r="A89" s="99" t="s">
        <v>18</v>
      </c>
      <c r="B89" s="62"/>
      <c r="C89" s="215"/>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086" ht="20.100000000000001" customHeight="1">
      <c r="A90" s="99" t="s">
        <v>19</v>
      </c>
      <c r="B90" s="62"/>
      <c r="C90" s="216"/>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89"/>
    </row>
    <row r="91" spans="1:1086" ht="20.100000000000001" customHeight="1">
      <c r="A91" s="99" t="s">
        <v>18</v>
      </c>
      <c r="B91" s="62"/>
      <c r="C91" s="215"/>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086" ht="20.100000000000001" customHeight="1">
      <c r="A92" s="99" t="s">
        <v>19</v>
      </c>
      <c r="B92" s="62"/>
      <c r="C92" s="216"/>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89"/>
    </row>
    <row r="93" spans="1:1086" ht="20.100000000000001" customHeight="1">
      <c r="A93" s="99" t="s">
        <v>18</v>
      </c>
      <c r="B93" s="62"/>
      <c r="C93" s="215"/>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086" ht="20.100000000000001" customHeight="1">
      <c r="A94" s="99" t="s">
        <v>19</v>
      </c>
      <c r="B94" s="62"/>
      <c r="C94" s="217"/>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89"/>
    </row>
    <row r="95" spans="1:1086" ht="20.100000000000001" customHeight="1">
      <c r="B95" s="95"/>
      <c r="C95" s="207" t="s">
        <v>8</v>
      </c>
      <c r="D95" s="208"/>
      <c r="E95" s="116">
        <f>SUM(E15,E17,E19,E21,E23,E25,E27,E29,E31,E33,E35,E37,E39,E41,E43,E45,E47,E49,E51,E53,E55,E57,E59,E61,E63,E65,E67,E69,E71,E73,E75,E77,E79,E81,E83,E85,E87,E89,E91,E93)</f>
        <v>255</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086" ht="20.100000000000001" customHeight="1" thickBot="1">
      <c r="B96" s="95"/>
      <c r="C96" s="209"/>
      <c r="D96" s="210"/>
      <c r="E96" s="122" t="str">
        <f xml:space="preserve"> setValueToTime(E95)</f>
        <v>21h15min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1" t="s">
        <v>9</v>
      </c>
      <c r="D97" s="212"/>
      <c r="E97" s="117">
        <f>SUM(E16,E18,E20,E22,E24,E26,E28,E30,E32,E34,E36,E38,E40,E42,E44,E46,E48,E50,E52,E54,E56,E58,E60,E62,E64,E66,E68,E70,E72,E74,E76,E78,E80,E82,E84,E86,E88,E90,E92,E94)</f>
        <v>231</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3"/>
      <c r="D98" s="214"/>
      <c r="E98" s="121" t="str">
        <f xml:space="preserve"> setValueToTime(E97)</f>
        <v>19h15min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57"/>
  <sheetViews>
    <sheetView showGridLines="0" zoomScaleNormal="100" zoomScaleSheetLayoutView="98" workbookViewId="0">
      <pane ySplit="1" topLeftCell="A143" activePane="bottomLeft" state="frozen"/>
      <selection activeCell="BC13" sqref="BC13"/>
      <selection pane="bottomLeft" activeCell="G157" sqref="G157"/>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13</v>
      </c>
      <c r="C2" s="162"/>
      <c r="D2" s="81" t="s">
        <v>14</v>
      </c>
      <c r="E2" s="93">
        <v>44232</v>
      </c>
      <c r="F2" s="125" t="s">
        <v>75</v>
      </c>
      <c r="G2" s="45"/>
    </row>
    <row r="3" spans="1:7" s="46" customFormat="1" ht="30" customHeight="1" thickBot="1">
      <c r="A3" s="79" t="s">
        <v>4</v>
      </c>
      <c r="B3" s="149" t="s">
        <v>38</v>
      </c>
      <c r="C3" s="150"/>
      <c r="D3" s="79" t="s">
        <v>12</v>
      </c>
      <c r="E3" s="237" t="s">
        <v>13</v>
      </c>
      <c r="F3" s="238"/>
      <c r="G3" s="45"/>
    </row>
    <row r="4" spans="1:7" s="51" customFormat="1" ht="27">
      <c r="A4" s="47" t="s">
        <v>117</v>
      </c>
      <c r="B4" s="48">
        <v>33</v>
      </c>
      <c r="C4" s="151" t="str">
        <f xml:space="preserve"> IF(B4="","",setValueToTime(B4))</f>
        <v>2h45min</v>
      </c>
      <c r="D4" s="165" t="s">
        <v>124</v>
      </c>
      <c r="E4" s="239"/>
      <c r="F4" s="240"/>
      <c r="G4" s="50"/>
    </row>
    <row r="5" spans="1:7" s="51" customFormat="1">
      <c r="A5" s="52" t="s">
        <v>15</v>
      </c>
      <c r="B5" s="53">
        <v>3</v>
      </c>
      <c r="C5" s="152" t="str">
        <f t="shared" ref="C5:C11" si="0" xml:space="preserve"> IF(B5="","",setValueToTime(B5))</f>
        <v>0h15min</v>
      </c>
      <c r="D5" s="166" t="s">
        <v>114</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12</v>
      </c>
      <c r="C14" s="162"/>
      <c r="D14" s="81" t="s">
        <v>14</v>
      </c>
      <c r="E14" s="93">
        <v>44232</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62</v>
      </c>
      <c r="B16" s="48">
        <v>36</v>
      </c>
      <c r="C16" s="151" t="str">
        <f xml:space="preserve"> IF(B16="","",setValueToTime(B16))</f>
        <v>3h</v>
      </c>
      <c r="D16" s="165" t="s">
        <v>123</v>
      </c>
      <c r="E16" s="239"/>
      <c r="F16" s="240"/>
      <c r="G16" s="50"/>
    </row>
    <row r="17" spans="1:7" s="51" customFormat="1">
      <c r="A17" s="52"/>
      <c r="B17" s="53"/>
      <c r="C17" s="152" t="str">
        <f t="shared" ref="C17:C23" si="1" xml:space="preserve"> IF(B17="","",setValueToTime(B17))</f>
        <v/>
      </c>
      <c r="D17" s="54"/>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11</v>
      </c>
      <c r="C26" s="162"/>
      <c r="D26" s="81" t="s">
        <v>14</v>
      </c>
      <c r="E26" s="93">
        <v>44231</v>
      </c>
      <c r="F26" s="125" t="s">
        <v>75</v>
      </c>
      <c r="G26" s="45"/>
    </row>
    <row r="27" spans="1:7" s="46" customFormat="1" ht="30" customHeight="1" thickBot="1">
      <c r="A27" s="79" t="s">
        <v>4</v>
      </c>
      <c r="B27" s="149" t="s">
        <v>38</v>
      </c>
      <c r="C27" s="150"/>
      <c r="D27" s="79" t="s">
        <v>12</v>
      </c>
      <c r="E27" s="237" t="s">
        <v>13</v>
      </c>
      <c r="F27" s="238"/>
      <c r="G27" s="45"/>
    </row>
    <row r="28" spans="1:7" s="51" customFormat="1">
      <c r="A28" s="47" t="s">
        <v>59</v>
      </c>
      <c r="B28" s="48">
        <v>18</v>
      </c>
      <c r="C28" s="151" t="str">
        <f xml:space="preserve"> IF(B28="","",setValueToTime(B28))</f>
        <v>1h30min</v>
      </c>
      <c r="D28" s="165" t="s">
        <v>120</v>
      </c>
      <c r="E28" s="239"/>
      <c r="F28" s="240"/>
      <c r="G28" s="50"/>
    </row>
    <row r="29" spans="1:7" s="51" customFormat="1" ht="27">
      <c r="A29" s="52" t="s">
        <v>62</v>
      </c>
      <c r="B29" s="53">
        <v>15</v>
      </c>
      <c r="C29" s="152" t="str">
        <f t="shared" ref="C29:C35" si="2" xml:space="preserve"> IF(B29="","",setValueToTime(B29))</f>
        <v>1h15min</v>
      </c>
      <c r="D29" s="166" t="s">
        <v>122</v>
      </c>
      <c r="E29" s="231"/>
      <c r="F29" s="232"/>
      <c r="G29" s="50"/>
    </row>
    <row r="30" spans="1:7" s="51" customFormat="1">
      <c r="A30" s="52" t="s">
        <v>15</v>
      </c>
      <c r="B30" s="53">
        <v>3</v>
      </c>
      <c r="C30" s="152" t="str">
        <f t="shared" si="2"/>
        <v>0h15min</v>
      </c>
      <c r="D30" s="166" t="s">
        <v>106</v>
      </c>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10</v>
      </c>
      <c r="C38" s="162"/>
      <c r="D38" s="81" t="s">
        <v>14</v>
      </c>
      <c r="E38" s="93">
        <v>44231</v>
      </c>
      <c r="F38" s="125" t="s">
        <v>74</v>
      </c>
      <c r="G38" s="45"/>
    </row>
    <row r="39" spans="1:7" s="46" customFormat="1" ht="30" customHeight="1" thickBot="1">
      <c r="A39" s="79" t="s">
        <v>4</v>
      </c>
      <c r="B39" s="149" t="s">
        <v>38</v>
      </c>
      <c r="C39" s="150"/>
      <c r="D39" s="79" t="s">
        <v>12</v>
      </c>
      <c r="E39" s="237" t="s">
        <v>13</v>
      </c>
      <c r="F39" s="238"/>
      <c r="G39" s="45"/>
    </row>
    <row r="40" spans="1:7" s="51" customFormat="1">
      <c r="A40" s="47" t="s">
        <v>59</v>
      </c>
      <c r="B40" s="48">
        <v>45</v>
      </c>
      <c r="C40" s="151" t="str">
        <f xml:space="preserve"> IF(B40="","",setValueToTime(B40))</f>
        <v>3h45min</v>
      </c>
      <c r="D40" s="165" t="s">
        <v>121</v>
      </c>
      <c r="E40" s="239"/>
      <c r="F40" s="240"/>
      <c r="G40" s="50"/>
    </row>
    <row r="41" spans="1:7" s="51" customFormat="1">
      <c r="A41" s="52"/>
      <c r="B41" s="53"/>
      <c r="C41" s="152" t="str">
        <f t="shared" ref="C41:C47" si="3" xml:space="preserve"> IF(B41="","",setValueToTime(B41))</f>
        <v/>
      </c>
      <c r="D41" s="54"/>
      <c r="E41" s="231"/>
      <c r="F41" s="232"/>
      <c r="G41" s="50"/>
    </row>
    <row r="42" spans="1:7" s="51" customFormat="1">
      <c r="A42" s="52"/>
      <c r="B42" s="53"/>
      <c r="C42" s="152" t="str">
        <f t="shared" si="3"/>
        <v/>
      </c>
      <c r="D42" s="54"/>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9</v>
      </c>
      <c r="C50" s="162"/>
      <c r="D50" s="81" t="s">
        <v>14</v>
      </c>
      <c r="E50" s="93">
        <v>44230</v>
      </c>
      <c r="F50" s="125" t="s">
        <v>75</v>
      </c>
      <c r="G50" s="45"/>
    </row>
    <row r="51" spans="1:7" s="46" customFormat="1" ht="30" customHeight="1" thickBot="1">
      <c r="A51" s="79" t="s">
        <v>4</v>
      </c>
      <c r="B51" s="149" t="s">
        <v>38</v>
      </c>
      <c r="C51" s="150"/>
      <c r="D51" s="79" t="s">
        <v>12</v>
      </c>
      <c r="E51" s="237" t="s">
        <v>13</v>
      </c>
      <c r="F51" s="238"/>
      <c r="G51" s="45"/>
    </row>
    <row r="52" spans="1:7" s="51" customFormat="1">
      <c r="A52" s="47" t="s">
        <v>60</v>
      </c>
      <c r="B52" s="48">
        <v>18</v>
      </c>
      <c r="C52" s="151" t="str">
        <f xml:space="preserve"> IF(B52="","",setValueToTime(B52))</f>
        <v>1h30min</v>
      </c>
      <c r="D52" s="165" t="s">
        <v>116</v>
      </c>
      <c r="E52" s="239"/>
      <c r="F52" s="240"/>
      <c r="G52" s="50"/>
    </row>
    <row r="53" spans="1:7" s="51" customFormat="1">
      <c r="A53" s="52" t="s">
        <v>59</v>
      </c>
      <c r="B53" s="53">
        <v>15</v>
      </c>
      <c r="C53" s="152" t="str">
        <f t="shared" ref="C53:C59" si="4" xml:space="preserve"> IF(B53="","",setValueToTime(B53))</f>
        <v>1h15min</v>
      </c>
      <c r="D53" s="166" t="s">
        <v>119</v>
      </c>
      <c r="E53" s="231"/>
      <c r="F53" s="232"/>
      <c r="G53" s="50"/>
    </row>
    <row r="54" spans="1:7" s="51" customFormat="1">
      <c r="A54" s="52" t="s">
        <v>15</v>
      </c>
      <c r="B54" s="53">
        <v>3</v>
      </c>
      <c r="C54" s="152" t="str">
        <f t="shared" si="4"/>
        <v>0h15min</v>
      </c>
      <c r="D54" s="166" t="s">
        <v>106</v>
      </c>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8</v>
      </c>
      <c r="C62" s="162"/>
      <c r="D62" s="81" t="s">
        <v>14</v>
      </c>
      <c r="E62" s="93">
        <v>44230</v>
      </c>
      <c r="F62" s="125" t="s">
        <v>74</v>
      </c>
      <c r="G62" s="45"/>
    </row>
    <row r="63" spans="1:7" s="46" customFormat="1" ht="30" customHeight="1" thickBot="1">
      <c r="A63" s="79" t="s">
        <v>4</v>
      </c>
      <c r="B63" s="149" t="s">
        <v>38</v>
      </c>
      <c r="C63" s="150"/>
      <c r="D63" s="79" t="s">
        <v>12</v>
      </c>
      <c r="E63" s="237" t="s">
        <v>13</v>
      </c>
      <c r="F63" s="238"/>
      <c r="G63" s="45"/>
    </row>
    <row r="64" spans="1:7" s="51" customFormat="1">
      <c r="A64" s="47" t="s">
        <v>56</v>
      </c>
      <c r="B64" s="48">
        <v>3</v>
      </c>
      <c r="C64" s="151"/>
      <c r="D64" s="165" t="s">
        <v>112</v>
      </c>
      <c r="E64" s="239"/>
      <c r="F64" s="240"/>
      <c r="G64" s="50"/>
    </row>
    <row r="65" spans="1:7" s="51" customFormat="1">
      <c r="A65" s="52" t="s">
        <v>60</v>
      </c>
      <c r="B65" s="53">
        <v>42</v>
      </c>
      <c r="C65" s="152"/>
      <c r="D65" s="166" t="s">
        <v>115</v>
      </c>
      <c r="E65" s="231"/>
      <c r="F65" s="232"/>
      <c r="G65" s="50"/>
    </row>
    <row r="66" spans="1:7" s="51" customFormat="1">
      <c r="A66" s="52"/>
      <c r="B66" s="53"/>
      <c r="C66" s="152" t="str">
        <f t="shared" ref="C66:C71" si="5" xml:space="preserve"> IF(B66="","",setValueToTime(B66))</f>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7</v>
      </c>
      <c r="C74" s="162"/>
      <c r="D74" s="81" t="s">
        <v>14</v>
      </c>
      <c r="E74" s="93">
        <v>44228</v>
      </c>
      <c r="F74" s="125" t="s">
        <v>74</v>
      </c>
      <c r="G74" s="45"/>
    </row>
    <row r="75" spans="1:7" s="46" customFormat="1" ht="30" customHeight="1" thickBot="1">
      <c r="A75" s="79" t="s">
        <v>4</v>
      </c>
      <c r="B75" s="149" t="s">
        <v>38</v>
      </c>
      <c r="C75" s="150"/>
      <c r="D75" s="79" t="s">
        <v>12</v>
      </c>
      <c r="E75" s="237" t="s">
        <v>13</v>
      </c>
      <c r="F75" s="238"/>
      <c r="G75" s="45"/>
    </row>
    <row r="76" spans="1:7" s="51" customFormat="1">
      <c r="A76" s="47" t="s">
        <v>56</v>
      </c>
      <c r="B76" s="48">
        <v>3</v>
      </c>
      <c r="C76" s="151" t="str">
        <f xml:space="preserve"> IF(B76="","",setValueToTime(B76))</f>
        <v>0h15min</v>
      </c>
      <c r="D76" s="165" t="s">
        <v>112</v>
      </c>
      <c r="E76" s="239"/>
      <c r="F76" s="240"/>
      <c r="G76" s="50"/>
    </row>
    <row r="77" spans="1:7" s="51" customFormat="1">
      <c r="A77" s="52" t="s">
        <v>60</v>
      </c>
      <c r="B77" s="53">
        <v>33</v>
      </c>
      <c r="C77" s="152" t="str">
        <f t="shared" ref="C77:C83" si="6" xml:space="preserve"> IF(B77="","",setValueToTime(B77))</f>
        <v>2h45min</v>
      </c>
      <c r="D77" s="166" t="s">
        <v>113</v>
      </c>
      <c r="E77" s="231"/>
      <c r="F77" s="232"/>
      <c r="G77" s="50"/>
    </row>
    <row r="78" spans="1:7" s="51" customFormat="1">
      <c r="A78" s="52"/>
      <c r="B78" s="53"/>
      <c r="C78" s="152" t="str">
        <f t="shared" si="6"/>
        <v/>
      </c>
      <c r="D78" s="54"/>
      <c r="E78" s="231"/>
      <c r="F78" s="232"/>
      <c r="G78" s="50"/>
    </row>
    <row r="79" spans="1:7" s="51" customFormat="1">
      <c r="A79" s="52"/>
      <c r="B79" s="53"/>
      <c r="C79" s="152" t="str">
        <f t="shared" si="6"/>
        <v/>
      </c>
      <c r="D79" s="54"/>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6</v>
      </c>
      <c r="C86" s="162"/>
      <c r="D86" s="81" t="s">
        <v>14</v>
      </c>
      <c r="E86" s="93">
        <v>44225</v>
      </c>
      <c r="F86" s="125" t="s">
        <v>91</v>
      </c>
      <c r="G86" s="45"/>
    </row>
    <row r="87" spans="1:7" s="46" customFormat="1" ht="30" customHeight="1" thickBot="1">
      <c r="A87" s="79" t="s">
        <v>4</v>
      </c>
      <c r="B87" s="149" t="s">
        <v>38</v>
      </c>
      <c r="C87" s="150"/>
      <c r="D87" s="79" t="s">
        <v>12</v>
      </c>
      <c r="E87" s="237" t="s">
        <v>13</v>
      </c>
      <c r="F87" s="238"/>
      <c r="G87" s="45"/>
    </row>
    <row r="88" spans="1:7" s="51" customFormat="1">
      <c r="A88" s="47" t="s">
        <v>58</v>
      </c>
      <c r="B88" s="48">
        <v>33</v>
      </c>
      <c r="C88" s="151" t="str">
        <f xml:space="preserve"> IF(B88="","",setValueToTime(B88))</f>
        <v>2h45min</v>
      </c>
      <c r="D88" s="165" t="s">
        <v>96</v>
      </c>
      <c r="E88" s="239"/>
      <c r="F88" s="240"/>
      <c r="G88" s="50"/>
    </row>
    <row r="89" spans="1:7" s="51" customFormat="1">
      <c r="A89" s="52" t="s">
        <v>15</v>
      </c>
      <c r="B89" s="53">
        <v>3</v>
      </c>
      <c r="C89" s="152" t="str">
        <f t="shared" ref="C89:C95" si="7" xml:space="preserve"> IF(B89="","",setValueToTime(B89))</f>
        <v>0h15min</v>
      </c>
      <c r="D89" s="166" t="s">
        <v>94</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5</v>
      </c>
      <c r="C98" s="162"/>
      <c r="D98" s="81" t="s">
        <v>14</v>
      </c>
      <c r="E98" s="93">
        <v>44225</v>
      </c>
      <c r="F98" s="125" t="s">
        <v>86</v>
      </c>
      <c r="G98" s="45"/>
    </row>
    <row r="99" spans="1:7" s="46" customFormat="1" ht="30" customHeight="1" thickBot="1">
      <c r="A99" s="79" t="s">
        <v>4</v>
      </c>
      <c r="B99" s="149" t="s">
        <v>38</v>
      </c>
      <c r="C99" s="150"/>
      <c r="D99" s="79" t="s">
        <v>12</v>
      </c>
      <c r="E99" s="237" t="s">
        <v>13</v>
      </c>
      <c r="F99" s="238"/>
      <c r="G99" s="45"/>
    </row>
    <row r="100" spans="1:7" s="51" customFormat="1">
      <c r="A100" s="47" t="s">
        <v>58</v>
      </c>
      <c r="B100" s="48">
        <v>36</v>
      </c>
      <c r="C100" s="151" t="str">
        <f xml:space="preserve"> IF(B100="","",setValueToTime(B100))</f>
        <v>3h</v>
      </c>
      <c r="D100" s="165" t="s">
        <v>95</v>
      </c>
      <c r="E100" s="239"/>
      <c r="F100" s="240"/>
      <c r="G100" s="50"/>
    </row>
    <row r="101" spans="1:7" s="51" customFormat="1">
      <c r="A101" s="52"/>
      <c r="B101" s="53"/>
      <c r="C101" s="152" t="str">
        <f t="shared" ref="C101:C107" si="8" xml:space="preserve"> IF(B101="","",setValueToTime(B101))</f>
        <v/>
      </c>
      <c r="D101" s="54"/>
      <c r="E101" s="231"/>
      <c r="F101" s="232"/>
      <c r="G101" s="50"/>
    </row>
    <row r="102" spans="1:7" s="51" customFormat="1">
      <c r="A102" s="52"/>
      <c r="B102" s="53"/>
      <c r="C102" s="152" t="str">
        <f t="shared" si="8"/>
        <v/>
      </c>
      <c r="D102" s="54"/>
      <c r="E102" s="231"/>
      <c r="F102" s="232"/>
      <c r="G102" s="50"/>
    </row>
    <row r="103" spans="1:7" s="51" customFormat="1">
      <c r="A103" s="52"/>
      <c r="B103" s="53"/>
      <c r="C103" s="152" t="str">
        <f t="shared" si="8"/>
        <v/>
      </c>
      <c r="D103" s="54"/>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4</v>
      </c>
      <c r="C110" s="162"/>
      <c r="D110" s="81" t="s">
        <v>14</v>
      </c>
      <c r="E110" s="93">
        <v>44224</v>
      </c>
      <c r="F110" s="125" t="s">
        <v>91</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18</v>
      </c>
      <c r="C112" s="151" t="str">
        <f xml:space="preserve"> IF(B112="","",setValueToTime(B112))</f>
        <v>1h30min</v>
      </c>
      <c r="D112" s="165" t="s">
        <v>92</v>
      </c>
      <c r="E112" s="239"/>
      <c r="F112" s="240"/>
      <c r="G112" s="50"/>
    </row>
    <row r="113" spans="1:7" s="51" customFormat="1">
      <c r="A113" s="52" t="s">
        <v>58</v>
      </c>
      <c r="B113" s="53">
        <v>15</v>
      </c>
      <c r="C113" s="152" t="str">
        <f t="shared" ref="C113:C119" si="9" xml:space="preserve"> IF(B113="","",setValueToTime(B113))</f>
        <v>1h15min</v>
      </c>
      <c r="D113" s="166" t="s">
        <v>93</v>
      </c>
      <c r="E113" s="231"/>
      <c r="F113" s="232"/>
      <c r="G113" s="50"/>
    </row>
    <row r="114" spans="1:7" s="51" customFormat="1">
      <c r="A114" s="52" t="s">
        <v>15</v>
      </c>
      <c r="B114" s="53">
        <v>3</v>
      </c>
      <c r="C114" s="152" t="str">
        <f t="shared" si="9"/>
        <v>0h15min</v>
      </c>
      <c r="D114" s="166" t="s">
        <v>94</v>
      </c>
      <c r="E114" s="231"/>
      <c r="F114" s="232"/>
      <c r="G114" s="50"/>
    </row>
    <row r="115" spans="1:7" s="51" customFormat="1">
      <c r="A115" s="52"/>
      <c r="B115" s="53"/>
      <c r="C115" s="152" t="str">
        <f t="shared" si="9"/>
        <v/>
      </c>
      <c r="D115" s="54"/>
      <c r="E115" s="231"/>
      <c r="F115" s="232"/>
      <c r="G115" s="50"/>
    </row>
    <row r="116" spans="1:7" s="51" customFormat="1">
      <c r="A116" s="53"/>
      <c r="B116" s="53"/>
      <c r="C116" s="153" t="str">
        <f t="shared" si="9"/>
        <v/>
      </c>
      <c r="D116" s="54"/>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3</v>
      </c>
      <c r="C122" s="162"/>
      <c r="D122" s="81" t="s">
        <v>14</v>
      </c>
      <c r="E122" s="93">
        <v>44224</v>
      </c>
      <c r="F122" s="125" t="s">
        <v>86</v>
      </c>
      <c r="G122" s="45"/>
    </row>
    <row r="123" spans="1:7" s="46" customFormat="1" ht="30" customHeight="1" thickBot="1">
      <c r="A123" s="79" t="s">
        <v>4</v>
      </c>
      <c r="B123" s="149" t="s">
        <v>38</v>
      </c>
      <c r="C123" s="150"/>
      <c r="D123" s="79" t="s">
        <v>12</v>
      </c>
      <c r="E123" s="237" t="s">
        <v>13</v>
      </c>
      <c r="F123" s="238"/>
      <c r="G123" s="45"/>
    </row>
    <row r="124" spans="1:7" s="51" customFormat="1">
      <c r="A124" s="47" t="s">
        <v>15</v>
      </c>
      <c r="B124" s="48">
        <v>12</v>
      </c>
      <c r="C124" s="151" t="str">
        <f xml:space="preserve"> IF(B124="","",setValueToTime(B124))</f>
        <v>1h</v>
      </c>
      <c r="D124" s="165" t="s">
        <v>87</v>
      </c>
      <c r="E124" s="239"/>
      <c r="F124" s="240"/>
      <c r="G124" s="50"/>
    </row>
    <row r="125" spans="1:7" s="51" customFormat="1">
      <c r="A125" s="52" t="s">
        <v>50</v>
      </c>
      <c r="B125" s="53">
        <v>18</v>
      </c>
      <c r="C125" s="152" t="str">
        <f t="shared" ref="C125:C131" si="10" xml:space="preserve"> IF(B125="","",setValueToTime(B125))</f>
        <v>1h30min</v>
      </c>
      <c r="D125" s="166" t="s">
        <v>88</v>
      </c>
      <c r="E125" s="231"/>
      <c r="F125" s="232"/>
      <c r="G125" s="50"/>
    </row>
    <row r="126" spans="1:7" s="51" customFormat="1">
      <c r="A126" s="52" t="s">
        <v>52</v>
      </c>
      <c r="B126" s="53">
        <v>12</v>
      </c>
      <c r="C126" s="152" t="str">
        <f t="shared" si="10"/>
        <v>1h</v>
      </c>
      <c r="D126" s="166" t="s">
        <v>89</v>
      </c>
      <c r="E126" s="231"/>
      <c r="F126" s="232"/>
      <c r="G126" s="50"/>
    </row>
    <row r="127" spans="1:7" s="51" customFormat="1">
      <c r="A127" s="52" t="s">
        <v>15</v>
      </c>
      <c r="B127" s="53">
        <v>3</v>
      </c>
      <c r="C127" s="152" t="str">
        <f t="shared" si="10"/>
        <v>0h15min</v>
      </c>
      <c r="D127" s="166" t="s">
        <v>90</v>
      </c>
      <c r="E127" s="231"/>
      <c r="F127" s="232"/>
      <c r="G127" s="50"/>
    </row>
    <row r="128" spans="1:7" s="51" customFormat="1">
      <c r="A128" s="53"/>
      <c r="B128" s="53"/>
      <c r="C128" s="153" t="str">
        <f t="shared" si="10"/>
        <v/>
      </c>
      <c r="D128" s="54"/>
      <c r="E128" s="231"/>
      <c r="F128" s="232"/>
      <c r="G128" s="50"/>
    </row>
    <row r="129" spans="1:7" s="51" customFormat="1">
      <c r="A129" s="53"/>
      <c r="B129" s="53"/>
      <c r="C129" s="153" t="str">
        <f t="shared" si="10"/>
        <v/>
      </c>
      <c r="D129" s="54"/>
      <c r="E129" s="231"/>
      <c r="F129" s="232"/>
      <c r="G129" s="50"/>
    </row>
    <row r="130" spans="1:7" s="51" customFormat="1">
      <c r="A130" s="53"/>
      <c r="B130" s="53"/>
      <c r="C130" s="153" t="str">
        <f t="shared" si="10"/>
        <v/>
      </c>
      <c r="D130" s="54"/>
      <c r="E130" s="231"/>
      <c r="F130" s="232"/>
      <c r="G130" s="50"/>
    </row>
    <row r="131" spans="1:7" s="51" customFormat="1" ht="15" thickBot="1">
      <c r="A131" s="55"/>
      <c r="B131" s="55"/>
      <c r="C131" s="154" t="str">
        <f t="shared" si="10"/>
        <v/>
      </c>
      <c r="D131" s="56"/>
      <c r="E131" s="233"/>
      <c r="F131" s="23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v>
      </c>
      <c r="C134" s="162"/>
      <c r="D134" s="81" t="s">
        <v>14</v>
      </c>
      <c r="E134" s="93">
        <v>44223</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58</v>
      </c>
      <c r="B136" s="48">
        <v>36</v>
      </c>
      <c r="C136" s="151"/>
      <c r="D136" s="165" t="s">
        <v>76</v>
      </c>
      <c r="E136" s="239"/>
      <c r="F136" s="240"/>
      <c r="G136" s="50"/>
    </row>
    <row r="137" spans="1:7" s="51" customFormat="1">
      <c r="A137" s="52" t="s">
        <v>57</v>
      </c>
      <c r="B137" s="53">
        <v>15</v>
      </c>
      <c r="C137" s="152"/>
      <c r="D137" s="166" t="s">
        <v>78</v>
      </c>
      <c r="E137" s="231"/>
      <c r="F137" s="232"/>
      <c r="G137" s="50"/>
    </row>
    <row r="138" spans="1:7" s="51" customFormat="1">
      <c r="A138" s="52"/>
      <c r="B138" s="53"/>
      <c r="C138" s="152" t="str">
        <f t="shared" ref="C138:C143" si="11" xml:space="preserve"> IF(B138="","",setValueToTime(B138))</f>
        <v/>
      </c>
      <c r="D138" s="54"/>
      <c r="E138" s="231"/>
      <c r="F138" s="232"/>
      <c r="G138" s="50"/>
    </row>
    <row r="139" spans="1:7" s="51" customFormat="1">
      <c r="A139" s="52"/>
      <c r="B139" s="53"/>
      <c r="C139" s="152" t="str">
        <f t="shared" si="11"/>
        <v/>
      </c>
      <c r="D139" s="54"/>
      <c r="E139" s="231"/>
      <c r="F139" s="232"/>
      <c r="G139" s="50"/>
    </row>
    <row r="140" spans="1:7" s="51" customFormat="1">
      <c r="A140" s="53"/>
      <c r="B140" s="53"/>
      <c r="C140" s="153" t="str">
        <f t="shared" si="11"/>
        <v/>
      </c>
      <c r="D140" s="54"/>
      <c r="E140" s="231"/>
      <c r="F140" s="232"/>
      <c r="G140" s="50"/>
    </row>
    <row r="141" spans="1:7" s="51" customFormat="1">
      <c r="A141" s="53"/>
      <c r="B141" s="53"/>
      <c r="C141" s="153" t="str">
        <f t="shared" si="11"/>
        <v/>
      </c>
      <c r="D141" s="54"/>
      <c r="E141" s="231"/>
      <c r="F141" s="232"/>
      <c r="G141" s="50"/>
    </row>
    <row r="142" spans="1:7" s="51" customFormat="1">
      <c r="A142" s="53"/>
      <c r="B142" s="53"/>
      <c r="C142" s="153" t="str">
        <f t="shared" si="11"/>
        <v/>
      </c>
      <c r="D142" s="54"/>
      <c r="E142" s="231"/>
      <c r="F142" s="232"/>
      <c r="G142" s="50"/>
    </row>
    <row r="143" spans="1:7" s="51" customFormat="1" ht="15" thickBot="1">
      <c r="A143" s="55"/>
      <c r="B143" s="55"/>
      <c r="C143" s="154" t="str">
        <f t="shared" si="11"/>
        <v/>
      </c>
      <c r="D143" s="56"/>
      <c r="E143" s="233"/>
      <c r="F143" s="234"/>
      <c r="G143" s="50"/>
    </row>
    <row r="144" spans="1:7" s="51" customFormat="1" ht="15" thickBot="1">
      <c r="A144" s="110" t="s">
        <v>27</v>
      </c>
      <c r="B144" s="83">
        <f>SUM(B136:B143)</f>
        <v>51</v>
      </c>
      <c r="C144" s="110" t="str">
        <f xml:space="preserve"> setValueToTime(B144)</f>
        <v>4h15min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v>
      </c>
      <c r="C146" s="162"/>
      <c r="D146" s="81" t="s">
        <v>14</v>
      </c>
      <c r="E146" s="93">
        <v>44223</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12</v>
      </c>
      <c r="C148" s="152" t="str">
        <f xml:space="preserve"> IF(B148="","",setValueToTime(B148))</f>
        <v>1h</v>
      </c>
      <c r="D148" s="165" t="s">
        <v>68</v>
      </c>
      <c r="E148" s="239"/>
      <c r="F148" s="240"/>
      <c r="G148" s="50"/>
    </row>
    <row r="149" spans="1:7" s="51" customFormat="1">
      <c r="A149" s="52" t="s">
        <v>56</v>
      </c>
      <c r="B149" s="53">
        <v>9</v>
      </c>
      <c r="C149" s="152" t="str">
        <f xml:space="preserve"> IF(B149="","",setValueToTime(B149))</f>
        <v>0h45min</v>
      </c>
      <c r="D149" s="166" t="s">
        <v>70</v>
      </c>
      <c r="E149" s="231"/>
      <c r="F149" s="232"/>
      <c r="G149" s="50"/>
    </row>
    <row r="150" spans="1:7" s="51" customFormat="1" ht="27">
      <c r="A150" s="52" t="s">
        <v>64</v>
      </c>
      <c r="B150" s="53">
        <v>9</v>
      </c>
      <c r="C150" s="152" t="str">
        <f t="shared" ref="C150:C155" si="12" xml:space="preserve"> IF(B150="","",setValueToTime(B150))</f>
        <v>0h45min</v>
      </c>
      <c r="D150" s="166" t="s">
        <v>72</v>
      </c>
      <c r="E150" s="231"/>
      <c r="F150" s="232"/>
      <c r="G150" s="50"/>
    </row>
    <row r="151" spans="1:7" s="51" customFormat="1" ht="27">
      <c r="A151" s="52" t="s">
        <v>65</v>
      </c>
      <c r="B151" s="53">
        <v>9</v>
      </c>
      <c r="C151" s="152" t="str">
        <f t="shared" si="12"/>
        <v>0h45min</v>
      </c>
      <c r="D151" s="166" t="s">
        <v>73</v>
      </c>
      <c r="E151" s="231"/>
      <c r="F151" s="232"/>
      <c r="G151" s="50"/>
    </row>
    <row r="152" spans="1:7" s="51" customFormat="1">
      <c r="A152" s="53" t="s">
        <v>58</v>
      </c>
      <c r="B152" s="53">
        <v>12</v>
      </c>
      <c r="C152" s="153" t="str">
        <f t="shared" si="12"/>
        <v>1h</v>
      </c>
      <c r="D152" s="166" t="s">
        <v>77</v>
      </c>
      <c r="E152" s="231"/>
      <c r="F152" s="232"/>
      <c r="G152" s="50"/>
    </row>
    <row r="153" spans="1:7" s="51" customFormat="1">
      <c r="A153" s="53"/>
      <c r="B153" s="53"/>
      <c r="C153" s="153" t="str">
        <f t="shared" si="12"/>
        <v/>
      </c>
      <c r="D153" s="54"/>
      <c r="E153" s="231"/>
      <c r="F153" s="232"/>
      <c r="G153" s="50"/>
    </row>
    <row r="154" spans="1:7" s="51" customFormat="1">
      <c r="A154" s="53"/>
      <c r="B154" s="53"/>
      <c r="C154" s="153" t="str">
        <f t="shared" si="12"/>
        <v/>
      </c>
      <c r="D154" s="54"/>
      <c r="E154" s="231"/>
      <c r="F154" s="232"/>
      <c r="G154" s="50"/>
    </row>
    <row r="155" spans="1:7" s="51" customFormat="1" ht="15" thickBot="1">
      <c r="A155" s="55"/>
      <c r="B155" s="55"/>
      <c r="C155" s="154" t="str">
        <f t="shared" si="12"/>
        <v/>
      </c>
      <c r="D155" s="56"/>
      <c r="E155" s="233"/>
      <c r="F155" s="234"/>
      <c r="G155" s="50"/>
    </row>
    <row r="156" spans="1:7" s="51" customFormat="1" ht="15" thickBot="1">
      <c r="A156" s="110" t="s">
        <v>27</v>
      </c>
      <c r="B156" s="83">
        <f>SUM(B148:B155)</f>
        <v>51</v>
      </c>
      <c r="C156" s="110" t="str">
        <f xml:space="preserve"> setValueToTime(B156)</f>
        <v>4h15min</v>
      </c>
      <c r="D156" s="119"/>
      <c r="E156" s="235"/>
      <c r="F156" s="236"/>
      <c r="G156" s="50"/>
    </row>
    <row r="157" spans="1:7" s="58" customFormat="1">
      <c r="A157" s="78"/>
      <c r="B157" s="78"/>
      <c r="C157" s="78"/>
      <c r="D157" s="78"/>
      <c r="E157" s="78"/>
      <c r="F157" s="78"/>
      <c r="G157" s="57"/>
    </row>
  </sheetData>
  <sheetProtection formatRows="0" insertRows="0" insertHyperlinks="0" deleteRows="0" selectLockedCells="1"/>
  <mergeCells count="1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32:F132"/>
    <mergeCell ref="E116:F116"/>
    <mergeCell ref="E117:F117"/>
    <mergeCell ref="E118:F118"/>
    <mergeCell ref="E119:F119"/>
    <mergeCell ref="E120:F120"/>
    <mergeCell ref="E111:F111"/>
    <mergeCell ref="E112:F112"/>
    <mergeCell ref="E113:F113"/>
    <mergeCell ref="E114:F114"/>
    <mergeCell ref="E115:F115"/>
    <mergeCell ref="E123:F123"/>
    <mergeCell ref="E124:F124"/>
    <mergeCell ref="E125:F125"/>
    <mergeCell ref="E126:F126"/>
    <mergeCell ref="E127:F127"/>
    <mergeCell ref="E128:F128"/>
    <mergeCell ref="E129:F129"/>
    <mergeCell ref="E130:F130"/>
    <mergeCell ref="E131:F131"/>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 ref="E142:F142"/>
    <mergeCell ref="E143:F143"/>
    <mergeCell ref="E144:F144"/>
    <mergeCell ref="E153:F153"/>
  </mergeCells>
  <phoneticPr fontId="0" type="noConversion"/>
  <conditionalFormatting sqref="B156">
    <cfRule type="cellIs" dxfId="27" priority="13" operator="greaterThan">
      <formula>60</formula>
    </cfRule>
  </conditionalFormatting>
  <conditionalFormatting sqref="B144">
    <cfRule type="cellIs" dxfId="26" priority="12" operator="greaterThan">
      <formula>60</formula>
    </cfRule>
  </conditionalFormatting>
  <conditionalFormatting sqref="B132">
    <cfRule type="cellIs" dxfId="25" priority="11" operator="greaterThan">
      <formula>60</formula>
    </cfRule>
  </conditionalFormatting>
  <conditionalFormatting sqref="B120">
    <cfRule type="cellIs" dxfId="24" priority="10" operator="greaterThan">
      <formula>60</formula>
    </cfRule>
  </conditionalFormatting>
  <conditionalFormatting sqref="B108">
    <cfRule type="cellIs" dxfId="23" priority="9" operator="greaterThan">
      <formula>60</formula>
    </cfRule>
  </conditionalFormatting>
  <conditionalFormatting sqref="B96">
    <cfRule type="cellIs" dxfId="22" priority="8" operator="greaterThan">
      <formula>60</formula>
    </cfRule>
  </conditionalFormatting>
  <conditionalFormatting sqref="B84">
    <cfRule type="cellIs" dxfId="21" priority="7" operator="greaterThan">
      <formula>60</formula>
    </cfRule>
  </conditionalFormatting>
  <conditionalFormatting sqref="B72">
    <cfRule type="cellIs" dxfId="20" priority="6" operator="greaterThan">
      <formula>60</formula>
    </cfRule>
  </conditionalFormatting>
  <conditionalFormatting sqref="B60">
    <cfRule type="cellIs" dxfId="19" priority="5" operator="greaterThan">
      <formula>60</formula>
    </cfRule>
  </conditionalFormatting>
  <conditionalFormatting sqref="B48">
    <cfRule type="cellIs" dxfId="18" priority="4" operator="greaterThan">
      <formula>60</formula>
    </cfRule>
  </conditionalFormatting>
  <conditionalFormatting sqref="B36">
    <cfRule type="cellIs" dxfId="17" priority="3" operator="greaterThan">
      <formula>60</formula>
    </cfRule>
  </conditionalFormatting>
  <conditionalFormatting sqref="B24">
    <cfRule type="cellIs" dxfId="16" priority="2" operator="greaterThan">
      <formula>60</formula>
    </cfRule>
  </conditionalFormatting>
  <conditionalFormatting sqref="B12">
    <cfRule type="cellIs" dxfId="1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136:B143 B148:B155 B124:B131 B112:B119 B100:B107 B88:B95 B76:B83 B64:B71 B52:B59 B40:B47 B28:B35 B16:B23 B4:B11">
      <formula1>0</formula1>
    </dataValidation>
    <dataValidation type="list" allowBlank="1" showInputMessage="1" showErrorMessage="1" sqref="A136:A143 A148:A155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57"/>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13</v>
      </c>
      <c r="C2" s="163"/>
      <c r="D2" s="156" t="s">
        <v>14</v>
      </c>
      <c r="E2" s="157" t="s">
        <v>138</v>
      </c>
      <c r="F2" s="158" t="s">
        <v>75</v>
      </c>
      <c r="G2" s="45"/>
    </row>
    <row r="3" spans="1:7" s="46" customFormat="1" ht="30" customHeight="1" thickBot="1">
      <c r="A3" s="77" t="s">
        <v>4</v>
      </c>
      <c r="B3" s="160" t="s">
        <v>38</v>
      </c>
      <c r="C3" s="159"/>
      <c r="D3" s="77" t="s">
        <v>12</v>
      </c>
      <c r="E3" s="243" t="s">
        <v>13</v>
      </c>
      <c r="F3" s="244"/>
      <c r="G3" s="45"/>
    </row>
    <row r="4" spans="1:7" s="51" customFormat="1" ht="27">
      <c r="A4" s="246" t="s">
        <v>66</v>
      </c>
      <c r="B4" s="48">
        <v>33</v>
      </c>
      <c r="C4" s="151" t="str">
        <f xml:space="preserve"> IF(B4="","",setValueToTime(B4))</f>
        <v>2h45min</v>
      </c>
      <c r="D4" s="165" t="s">
        <v>140</v>
      </c>
      <c r="E4" s="239"/>
      <c r="F4" s="240"/>
      <c r="G4" s="50"/>
    </row>
    <row r="5" spans="1:7" s="51" customFormat="1">
      <c r="A5" s="52" t="s">
        <v>15</v>
      </c>
      <c r="B5" s="53">
        <v>3</v>
      </c>
      <c r="C5" s="152" t="str">
        <f t="shared" ref="C5:C11" si="0" xml:space="preserve"> IF(B5="","",setValueToTime(B5))</f>
        <v>0h15min</v>
      </c>
      <c r="D5" s="166" t="s">
        <v>106</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61" t="s">
        <v>27</v>
      </c>
      <c r="B12" s="82">
        <f>SUM(B4:B11)</f>
        <v>36</v>
      </c>
      <c r="C12" s="161" t="str">
        <f xml:space="preserve"> setValueToTime(B12)</f>
        <v>3h</v>
      </c>
      <c r="D12" s="120"/>
      <c r="E12" s="241"/>
      <c r="F12" s="242"/>
      <c r="G12" s="50"/>
    </row>
    <row r="13" spans="1:7" s="58" customFormat="1" ht="15" thickBot="1">
      <c r="A13" s="76"/>
      <c r="B13" s="76"/>
      <c r="C13" s="76"/>
      <c r="D13" s="76"/>
      <c r="E13" s="76"/>
      <c r="F13" s="76"/>
      <c r="G13" s="57"/>
    </row>
    <row r="14" spans="1:7" s="46" customFormat="1" ht="30" customHeight="1" thickBot="1">
      <c r="A14" s="155" t="s">
        <v>11</v>
      </c>
      <c r="B14" s="163">
        <v>12</v>
      </c>
      <c r="C14" s="163"/>
      <c r="D14" s="156" t="s">
        <v>14</v>
      </c>
      <c r="E14" s="157" t="s">
        <v>138</v>
      </c>
      <c r="F14" s="158" t="s">
        <v>74</v>
      </c>
      <c r="G14" s="45"/>
    </row>
    <row r="15" spans="1:7" s="46" customFormat="1" ht="30" customHeight="1" thickBot="1">
      <c r="A15" s="77" t="s">
        <v>4</v>
      </c>
      <c r="B15" s="160" t="s">
        <v>38</v>
      </c>
      <c r="C15" s="159"/>
      <c r="D15" s="77" t="s">
        <v>12</v>
      </c>
      <c r="E15" s="243" t="s">
        <v>13</v>
      </c>
      <c r="F15" s="244"/>
      <c r="G15" s="45"/>
    </row>
    <row r="16" spans="1:7" s="51" customFormat="1" ht="81">
      <c r="A16" s="47" t="s">
        <v>60</v>
      </c>
      <c r="B16" s="48">
        <v>33</v>
      </c>
      <c r="C16" s="151" t="str">
        <f xml:space="preserve"> IF(B16="","",setValueToTime(B16))</f>
        <v>2h45min</v>
      </c>
      <c r="D16" s="165" t="s">
        <v>139</v>
      </c>
      <c r="E16" s="239"/>
      <c r="F16" s="240"/>
      <c r="G16" s="50"/>
    </row>
    <row r="17" spans="1:7" s="51" customFormat="1">
      <c r="A17" s="52" t="s">
        <v>15</v>
      </c>
      <c r="B17" s="53">
        <v>3</v>
      </c>
      <c r="C17" s="152" t="str">
        <f t="shared" ref="C17:C23" si="1" xml:space="preserve"> IF(B17="","",setValueToTime(B17))</f>
        <v>0h15min</v>
      </c>
      <c r="D17" s="166" t="s">
        <v>106</v>
      </c>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61" t="s">
        <v>27</v>
      </c>
      <c r="B24" s="82">
        <f>SUM(B16:B23)</f>
        <v>36</v>
      </c>
      <c r="C24" s="161" t="str">
        <f xml:space="preserve"> setValueToTime(B24)</f>
        <v>3h</v>
      </c>
      <c r="D24" s="120"/>
      <c r="E24" s="241"/>
      <c r="F24" s="242"/>
      <c r="G24" s="50"/>
    </row>
    <row r="25" spans="1:7" s="58" customFormat="1" ht="15" thickBot="1">
      <c r="A25" s="76"/>
      <c r="B25" s="76"/>
      <c r="C25" s="76"/>
      <c r="D25" s="76"/>
      <c r="E25" s="76"/>
      <c r="F25" s="76"/>
      <c r="G25" s="57"/>
    </row>
    <row r="26" spans="1:7" s="46" customFormat="1" ht="30" customHeight="1" thickBot="1">
      <c r="A26" s="155" t="s">
        <v>11</v>
      </c>
      <c r="B26" s="163">
        <v>11</v>
      </c>
      <c r="C26" s="163"/>
      <c r="D26" s="156" t="s">
        <v>14</v>
      </c>
      <c r="E26" s="157" t="s">
        <v>135</v>
      </c>
      <c r="F26" s="158" t="s">
        <v>75</v>
      </c>
      <c r="G26" s="45"/>
    </row>
    <row r="27" spans="1:7" s="46" customFormat="1" ht="30" customHeight="1" thickBot="1">
      <c r="A27" s="77" t="s">
        <v>4</v>
      </c>
      <c r="B27" s="160" t="s">
        <v>38</v>
      </c>
      <c r="C27" s="159"/>
      <c r="D27" s="77" t="s">
        <v>12</v>
      </c>
      <c r="E27" s="243" t="s">
        <v>13</v>
      </c>
      <c r="F27" s="244"/>
      <c r="G27" s="45"/>
    </row>
    <row r="28" spans="1:7" s="51" customFormat="1" ht="54">
      <c r="A28" s="47" t="s">
        <v>60</v>
      </c>
      <c r="B28" s="48">
        <v>33</v>
      </c>
      <c r="C28" s="151" t="str">
        <f xml:space="preserve"> IF(B28="","",setValueToTime(B28))</f>
        <v>2h45min</v>
      </c>
      <c r="D28" s="165" t="s">
        <v>137</v>
      </c>
      <c r="E28" s="239"/>
      <c r="F28" s="240"/>
      <c r="G28" s="50"/>
    </row>
    <row r="29" spans="1:7" s="51" customFormat="1">
      <c r="A29" s="52" t="s">
        <v>15</v>
      </c>
      <c r="B29" s="53">
        <v>3</v>
      </c>
      <c r="C29" s="152" t="str">
        <f t="shared" ref="C29:C35" si="2" xml:space="preserve"> IF(B29="","",setValueToTime(B29))</f>
        <v>0h15min</v>
      </c>
      <c r="D29" s="166" t="s">
        <v>106</v>
      </c>
      <c r="E29" s="231"/>
      <c r="F29" s="232"/>
      <c r="G29" s="50"/>
    </row>
    <row r="30" spans="1:7" s="51" customFormat="1">
      <c r="A30" s="52"/>
      <c r="B30" s="53"/>
      <c r="C30" s="152" t="str">
        <f t="shared" si="2"/>
        <v/>
      </c>
      <c r="D30" s="54"/>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61" t="s">
        <v>27</v>
      </c>
      <c r="B36" s="82">
        <f>SUM(B28:B35)</f>
        <v>36</v>
      </c>
      <c r="C36" s="161" t="str">
        <f xml:space="preserve"> setValueToTime(B36)</f>
        <v>3h</v>
      </c>
      <c r="D36" s="120"/>
      <c r="E36" s="241"/>
      <c r="F36" s="242"/>
      <c r="G36" s="50"/>
    </row>
    <row r="37" spans="1:7" s="58" customFormat="1" ht="15" thickBot="1">
      <c r="A37" s="76"/>
      <c r="B37" s="76"/>
      <c r="C37" s="76"/>
      <c r="D37" s="76"/>
      <c r="E37" s="76"/>
      <c r="F37" s="76"/>
      <c r="G37" s="57"/>
    </row>
    <row r="38" spans="1:7" s="46" customFormat="1" ht="30" customHeight="1" thickBot="1">
      <c r="A38" s="155" t="s">
        <v>11</v>
      </c>
      <c r="B38" s="163">
        <v>10</v>
      </c>
      <c r="C38" s="163"/>
      <c r="D38" s="156" t="s">
        <v>14</v>
      </c>
      <c r="E38" s="157" t="s">
        <v>135</v>
      </c>
      <c r="F38" s="158" t="s">
        <v>74</v>
      </c>
      <c r="G38" s="45"/>
    </row>
    <row r="39" spans="1:7" s="46" customFormat="1" ht="30" customHeight="1" thickBot="1">
      <c r="A39" s="77" t="s">
        <v>4</v>
      </c>
      <c r="B39" s="160" t="s">
        <v>38</v>
      </c>
      <c r="C39" s="159"/>
      <c r="D39" s="77" t="s">
        <v>12</v>
      </c>
      <c r="E39" s="243" t="s">
        <v>13</v>
      </c>
      <c r="F39" s="244"/>
      <c r="G39" s="45"/>
    </row>
    <row r="40" spans="1:7" s="51" customFormat="1" ht="40.5">
      <c r="A40" s="47" t="s">
        <v>59</v>
      </c>
      <c r="B40" s="48">
        <v>42</v>
      </c>
      <c r="C40" s="151" t="str">
        <f xml:space="preserve"> IF(B40="","",setValueToTime(B40))</f>
        <v>3h30min</v>
      </c>
      <c r="D40" s="165" t="s">
        <v>136</v>
      </c>
      <c r="E40" s="239"/>
      <c r="F40" s="240"/>
      <c r="G40" s="50"/>
    </row>
    <row r="41" spans="1:7" s="51" customFormat="1">
      <c r="A41" s="52" t="s">
        <v>15</v>
      </c>
      <c r="B41" s="53">
        <v>3</v>
      </c>
      <c r="C41" s="152" t="str">
        <f t="shared" ref="C41:C47" si="3" xml:space="preserve"> IF(B41="","",setValueToTime(B41))</f>
        <v>0h15min</v>
      </c>
      <c r="D41" s="166" t="s">
        <v>106</v>
      </c>
      <c r="E41" s="231"/>
      <c r="F41" s="232"/>
      <c r="G41" s="50"/>
    </row>
    <row r="42" spans="1:7" s="51" customFormat="1">
      <c r="A42" s="52"/>
      <c r="B42" s="53"/>
      <c r="C42" s="152" t="str">
        <f t="shared" si="3"/>
        <v/>
      </c>
      <c r="D42" s="54"/>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27.75" thickBot="1">
      <c r="A48" s="161" t="s">
        <v>27</v>
      </c>
      <c r="B48" s="82">
        <f>SUM(B40:B47)</f>
        <v>45</v>
      </c>
      <c r="C48" s="161" t="str">
        <f xml:space="preserve"> setValueToTime(B48)</f>
        <v>3h45min</v>
      </c>
      <c r="D48" s="120"/>
      <c r="E48" s="241"/>
      <c r="F48" s="242"/>
      <c r="G48" s="50"/>
    </row>
    <row r="49" spans="1:7" s="58" customFormat="1" ht="15" thickBot="1">
      <c r="A49" s="76"/>
      <c r="B49" s="76"/>
      <c r="C49" s="76"/>
      <c r="D49" s="76"/>
      <c r="E49" s="76"/>
      <c r="F49" s="76"/>
      <c r="G49" s="57"/>
    </row>
    <row r="50" spans="1:7" s="46" customFormat="1" ht="30" customHeight="1" thickBot="1">
      <c r="A50" s="155" t="s">
        <v>11</v>
      </c>
      <c r="B50" s="163">
        <v>9</v>
      </c>
      <c r="C50" s="163"/>
      <c r="D50" s="156" t="s">
        <v>14</v>
      </c>
      <c r="E50" s="157" t="s">
        <v>126</v>
      </c>
      <c r="F50" s="158" t="s">
        <v>75</v>
      </c>
      <c r="G50" s="45"/>
    </row>
    <row r="51" spans="1:7" s="46" customFormat="1" ht="30" customHeight="1" thickBot="1">
      <c r="A51" s="77" t="s">
        <v>4</v>
      </c>
      <c r="B51" s="160" t="s">
        <v>38</v>
      </c>
      <c r="C51" s="159"/>
      <c r="D51" s="77" t="s">
        <v>12</v>
      </c>
      <c r="E51" s="243" t="s">
        <v>13</v>
      </c>
      <c r="F51" s="244"/>
      <c r="G51" s="45"/>
    </row>
    <row r="52" spans="1:7" s="51" customFormat="1" ht="27">
      <c r="A52" s="47" t="s">
        <v>59</v>
      </c>
      <c r="B52" s="48">
        <v>33</v>
      </c>
      <c r="C52" s="151" t="str">
        <f xml:space="preserve"> IF(B52="","",setValueToTime(B52))</f>
        <v>2h45min</v>
      </c>
      <c r="D52" s="165" t="s">
        <v>134</v>
      </c>
      <c r="E52" s="239"/>
      <c r="F52" s="240"/>
      <c r="G52" s="50"/>
    </row>
    <row r="53" spans="1:7" s="51" customFormat="1">
      <c r="A53" s="52" t="s">
        <v>15</v>
      </c>
      <c r="B53" s="53">
        <v>3</v>
      </c>
      <c r="C53" s="152" t="str">
        <f t="shared" ref="C53:C59" si="4" xml:space="preserve"> IF(B53="","",setValueToTime(B53))</f>
        <v>0h15min</v>
      </c>
      <c r="D53" s="166" t="s">
        <v>106</v>
      </c>
      <c r="E53" s="231"/>
      <c r="F53" s="232"/>
      <c r="G53" s="50"/>
    </row>
    <row r="54" spans="1:7" s="51" customFormat="1">
      <c r="A54" s="52"/>
      <c r="B54" s="53"/>
      <c r="C54" s="152" t="str">
        <f t="shared" si="4"/>
        <v/>
      </c>
      <c r="D54" s="54"/>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61" t="s">
        <v>27</v>
      </c>
      <c r="B60" s="82">
        <f>SUM(B52:B59)</f>
        <v>36</v>
      </c>
      <c r="C60" s="161" t="str">
        <f xml:space="preserve"> setValueToTime(B60)</f>
        <v>3h</v>
      </c>
      <c r="D60" s="120"/>
      <c r="E60" s="241"/>
      <c r="F60" s="242"/>
      <c r="G60" s="50"/>
    </row>
    <row r="61" spans="1:7" s="58" customFormat="1" ht="15" thickBot="1">
      <c r="A61" s="76"/>
      <c r="B61" s="76"/>
      <c r="C61" s="76"/>
      <c r="D61" s="76"/>
      <c r="E61" s="76"/>
      <c r="F61" s="76"/>
      <c r="G61" s="57"/>
    </row>
    <row r="62" spans="1:7" s="46" customFormat="1" ht="30" customHeight="1" thickBot="1">
      <c r="A62" s="155" t="s">
        <v>11</v>
      </c>
      <c r="B62" s="163">
        <v>8</v>
      </c>
      <c r="C62" s="163"/>
      <c r="D62" s="156" t="s">
        <v>14</v>
      </c>
      <c r="E62" s="157" t="s">
        <v>126</v>
      </c>
      <c r="F62" s="158" t="s">
        <v>74</v>
      </c>
      <c r="G62" s="45"/>
    </row>
    <row r="63" spans="1:7" s="46" customFormat="1" ht="30" customHeight="1" thickBot="1">
      <c r="A63" s="77" t="s">
        <v>4</v>
      </c>
      <c r="B63" s="160" t="s">
        <v>38</v>
      </c>
      <c r="C63" s="159"/>
      <c r="D63" s="77" t="s">
        <v>12</v>
      </c>
      <c r="E63" s="243" t="s">
        <v>13</v>
      </c>
      <c r="F63" s="244"/>
      <c r="G63" s="45"/>
    </row>
    <row r="64" spans="1:7" s="51" customFormat="1" ht="27">
      <c r="A64" s="47" t="s">
        <v>118</v>
      </c>
      <c r="B64" s="48">
        <v>12</v>
      </c>
      <c r="C64" s="151" t="str">
        <f xml:space="preserve"> IF(B64="","",setValueToTime(B64))</f>
        <v>1h</v>
      </c>
      <c r="D64" s="165" t="s">
        <v>131</v>
      </c>
      <c r="E64" s="239"/>
      <c r="F64" s="240"/>
      <c r="G64" s="50"/>
    </row>
    <row r="65" spans="1:7" s="51" customFormat="1" ht="27">
      <c r="A65" s="52" t="s">
        <v>66</v>
      </c>
      <c r="B65" s="53">
        <v>12</v>
      </c>
      <c r="C65" s="152" t="str">
        <f t="shared" ref="C65:C71" si="5" xml:space="preserve"> IF(B65="","",setValueToTime(B65))</f>
        <v>1h</v>
      </c>
      <c r="D65" s="166" t="s">
        <v>132</v>
      </c>
      <c r="E65" s="231"/>
      <c r="F65" s="232"/>
      <c r="G65" s="50"/>
    </row>
    <row r="66" spans="1:7" s="51" customFormat="1">
      <c r="A66" s="52" t="s">
        <v>59</v>
      </c>
      <c r="B66" s="53">
        <v>21</v>
      </c>
      <c r="C66" s="152" t="str">
        <f t="shared" si="5"/>
        <v>1h45min</v>
      </c>
      <c r="D66" s="166" t="s">
        <v>133</v>
      </c>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27.75" thickBot="1">
      <c r="A72" s="161" t="s">
        <v>27</v>
      </c>
      <c r="B72" s="82">
        <f>SUM(B64:B71)</f>
        <v>45</v>
      </c>
      <c r="C72" s="161" t="str">
        <f xml:space="preserve"> setValueToTime(B72)</f>
        <v>3h45min</v>
      </c>
      <c r="D72" s="120"/>
      <c r="E72" s="241"/>
      <c r="F72" s="242"/>
      <c r="G72" s="50"/>
    </row>
    <row r="73" spans="1:7" s="58" customFormat="1" ht="15" thickBot="1">
      <c r="A73" s="76"/>
      <c r="B73" s="76"/>
      <c r="C73" s="76"/>
      <c r="D73" s="76"/>
      <c r="E73" s="76"/>
      <c r="F73" s="76"/>
      <c r="G73" s="57"/>
    </row>
    <row r="74" spans="1:7" s="46" customFormat="1" ht="30" customHeight="1" thickBot="1">
      <c r="A74" s="155" t="s">
        <v>11</v>
      </c>
      <c r="B74" s="163">
        <v>7</v>
      </c>
      <c r="C74" s="163"/>
      <c r="D74" s="156" t="s">
        <v>14</v>
      </c>
      <c r="E74" s="157" t="s">
        <v>125</v>
      </c>
      <c r="F74" s="158" t="s">
        <v>74</v>
      </c>
      <c r="G74" s="45"/>
    </row>
    <row r="75" spans="1:7" s="46" customFormat="1" ht="30" customHeight="1" thickBot="1">
      <c r="A75" s="77" t="s">
        <v>4</v>
      </c>
      <c r="B75" s="160" t="s">
        <v>38</v>
      </c>
      <c r="C75" s="159"/>
      <c r="D75" s="77" t="s">
        <v>12</v>
      </c>
      <c r="E75" s="243" t="s">
        <v>13</v>
      </c>
      <c r="F75" s="244"/>
      <c r="G75" s="45"/>
    </row>
    <row r="76" spans="1:7" s="51" customFormat="1">
      <c r="A76" s="47" t="s">
        <v>51</v>
      </c>
      <c r="B76" s="48">
        <v>6</v>
      </c>
      <c r="C76" s="151" t="str">
        <f xml:space="preserve"> IF(B76="","",setValueToTime(B76))</f>
        <v>0h30min</v>
      </c>
      <c r="D76" s="165" t="s">
        <v>127</v>
      </c>
      <c r="E76" s="239"/>
      <c r="F76" s="240"/>
      <c r="G76" s="50"/>
    </row>
    <row r="77" spans="1:7" s="51" customFormat="1" ht="27">
      <c r="A77" s="52" t="s">
        <v>65</v>
      </c>
      <c r="B77" s="53">
        <v>12</v>
      </c>
      <c r="C77" s="152" t="str">
        <f t="shared" ref="C77:C83" si="6" xml:space="preserve"> IF(B77="","",setValueToTime(B77))</f>
        <v>1h</v>
      </c>
      <c r="D77" s="166" t="s">
        <v>128</v>
      </c>
      <c r="E77" s="231"/>
      <c r="F77" s="232"/>
      <c r="G77" s="50"/>
    </row>
    <row r="78" spans="1:7" s="51" customFormat="1">
      <c r="A78" s="52" t="s">
        <v>56</v>
      </c>
      <c r="B78" s="53">
        <v>6</v>
      </c>
      <c r="C78" s="152" t="str">
        <f t="shared" si="6"/>
        <v>0h30min</v>
      </c>
      <c r="D78" s="166" t="s">
        <v>129</v>
      </c>
      <c r="E78" s="231"/>
      <c r="F78" s="232"/>
      <c r="G78" s="50"/>
    </row>
    <row r="79" spans="1:7" s="51" customFormat="1" ht="27">
      <c r="A79" s="52" t="s">
        <v>58</v>
      </c>
      <c r="B79" s="53">
        <v>12</v>
      </c>
      <c r="C79" s="152" t="str">
        <f t="shared" si="6"/>
        <v>1h</v>
      </c>
      <c r="D79" s="166" t="s">
        <v>130</v>
      </c>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61" t="s">
        <v>27</v>
      </c>
      <c r="B84" s="82">
        <f>SUM(B76:B83)</f>
        <v>36</v>
      </c>
      <c r="C84" s="161" t="str">
        <f xml:space="preserve"> setValueToTime(B84)</f>
        <v>3h</v>
      </c>
      <c r="D84" s="120"/>
      <c r="E84" s="241"/>
      <c r="F84" s="242"/>
      <c r="G84" s="50"/>
    </row>
    <row r="85" spans="1:7" s="58" customFormat="1" ht="15" thickBot="1">
      <c r="A85" s="76"/>
      <c r="B85" s="76"/>
      <c r="C85" s="76"/>
      <c r="D85" s="76"/>
      <c r="E85" s="76"/>
      <c r="F85" s="76"/>
      <c r="G85" s="57"/>
    </row>
    <row r="86" spans="1:7" s="46" customFormat="1" ht="30" customHeight="1" thickBot="1">
      <c r="A86" s="155" t="s">
        <v>11</v>
      </c>
      <c r="B86" s="163">
        <v>6</v>
      </c>
      <c r="C86" s="163"/>
      <c r="D86" s="156" t="s">
        <v>14</v>
      </c>
      <c r="E86" s="157" t="s">
        <v>104</v>
      </c>
      <c r="F86" s="158" t="s">
        <v>91</v>
      </c>
      <c r="G86" s="45"/>
    </row>
    <row r="87" spans="1:7" s="46" customFormat="1" ht="30" customHeight="1" thickBot="1">
      <c r="A87" s="77" t="s">
        <v>4</v>
      </c>
      <c r="B87" s="160" t="s">
        <v>38</v>
      </c>
      <c r="C87" s="159"/>
      <c r="D87" s="77" t="s">
        <v>12</v>
      </c>
      <c r="E87" s="243" t="s">
        <v>13</v>
      </c>
      <c r="F87" s="244"/>
      <c r="G87" s="45"/>
    </row>
    <row r="88" spans="1:7" s="51" customFormat="1" ht="81">
      <c r="A88" s="47" t="s">
        <v>57</v>
      </c>
      <c r="B88" s="48">
        <v>24</v>
      </c>
      <c r="C88" s="151" t="str">
        <f xml:space="preserve"> IF(B88="","",setValueToTime(B88))</f>
        <v>2h</v>
      </c>
      <c r="D88" s="165" t="s">
        <v>107</v>
      </c>
      <c r="E88" s="239"/>
      <c r="F88" s="240"/>
      <c r="G88" s="50"/>
    </row>
    <row r="89" spans="1:7" s="51" customFormat="1" ht="27">
      <c r="A89" s="52" t="s">
        <v>66</v>
      </c>
      <c r="B89" s="53">
        <v>9</v>
      </c>
      <c r="C89" s="152" t="str">
        <f t="shared" ref="C89:C95" si="7" xml:space="preserve"> IF(B89="","",setValueToTime(B89))</f>
        <v>0h45min</v>
      </c>
      <c r="D89" s="166" t="s">
        <v>108</v>
      </c>
      <c r="E89" s="231"/>
      <c r="F89" s="232"/>
      <c r="G89" s="50"/>
    </row>
    <row r="90" spans="1:7" s="51" customFormat="1">
      <c r="A90" s="52" t="s">
        <v>15</v>
      </c>
      <c r="B90" s="53">
        <v>3</v>
      </c>
      <c r="C90" s="152" t="str">
        <f t="shared" si="7"/>
        <v>0h15min</v>
      </c>
      <c r="D90" s="166" t="s">
        <v>106</v>
      </c>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61" t="s">
        <v>27</v>
      </c>
      <c r="B96" s="82">
        <f>SUM(B88:B95)</f>
        <v>36</v>
      </c>
      <c r="C96" s="161" t="str">
        <f xml:space="preserve"> setValueToTime(B96)</f>
        <v>3h</v>
      </c>
      <c r="D96" s="120"/>
      <c r="E96" s="241"/>
      <c r="F96" s="242"/>
      <c r="G96" s="50"/>
    </row>
    <row r="97" spans="1:7" s="58" customFormat="1" ht="15" thickBot="1">
      <c r="A97" s="76"/>
      <c r="B97" s="76"/>
      <c r="C97" s="76"/>
      <c r="D97" s="76"/>
      <c r="E97" s="76"/>
      <c r="F97" s="76"/>
      <c r="G97" s="57"/>
    </row>
    <row r="98" spans="1:7" s="46" customFormat="1" ht="30" customHeight="1" thickBot="1">
      <c r="A98" s="155" t="s">
        <v>11</v>
      </c>
      <c r="B98" s="163">
        <v>5</v>
      </c>
      <c r="C98" s="163"/>
      <c r="D98" s="156" t="s">
        <v>14</v>
      </c>
      <c r="E98" s="157" t="s">
        <v>104</v>
      </c>
      <c r="F98" s="158" t="s">
        <v>86</v>
      </c>
      <c r="G98" s="45"/>
    </row>
    <row r="99" spans="1:7" s="46" customFormat="1" ht="30" customHeight="1" thickBot="1">
      <c r="A99" s="77" t="s">
        <v>4</v>
      </c>
      <c r="B99" s="160" t="s">
        <v>38</v>
      </c>
      <c r="C99" s="159"/>
      <c r="D99" s="77" t="s">
        <v>12</v>
      </c>
      <c r="E99" s="243" t="s">
        <v>13</v>
      </c>
      <c r="F99" s="244"/>
      <c r="G99" s="45"/>
    </row>
    <row r="100" spans="1:7" s="51" customFormat="1" ht="148.5">
      <c r="A100" s="47" t="s">
        <v>58</v>
      </c>
      <c r="B100" s="48">
        <v>33</v>
      </c>
      <c r="C100" s="151" t="str">
        <f xml:space="preserve"> IF(B100="","",setValueToTime(B100))</f>
        <v>2h45min</v>
      </c>
      <c r="D100" s="165" t="s">
        <v>105</v>
      </c>
      <c r="E100" s="239"/>
      <c r="F100" s="240"/>
      <c r="G100" s="50"/>
    </row>
    <row r="101" spans="1:7" s="51" customFormat="1">
      <c r="A101" s="52" t="s">
        <v>15</v>
      </c>
      <c r="B101" s="53">
        <v>3</v>
      </c>
      <c r="C101" s="152" t="str">
        <f t="shared" ref="C101:C107" si="8" xml:space="preserve"> IF(B101="","",setValueToTime(B101))</f>
        <v>0h15min</v>
      </c>
      <c r="D101" s="166" t="s">
        <v>106</v>
      </c>
      <c r="E101" s="231"/>
      <c r="F101" s="232"/>
      <c r="G101" s="50"/>
    </row>
    <row r="102" spans="1:7" s="51" customFormat="1">
      <c r="A102" s="52"/>
      <c r="B102" s="53"/>
      <c r="C102" s="152" t="str">
        <f t="shared" si="8"/>
        <v/>
      </c>
      <c r="D102" s="54"/>
      <c r="E102" s="231"/>
      <c r="F102" s="232"/>
      <c r="G102" s="50"/>
    </row>
    <row r="103" spans="1:7" s="51" customFormat="1">
      <c r="A103" s="52"/>
      <c r="B103" s="53"/>
      <c r="C103" s="152" t="str">
        <f t="shared" si="8"/>
        <v/>
      </c>
      <c r="D103" s="54"/>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61" t="s">
        <v>27</v>
      </c>
      <c r="B108" s="82">
        <f>SUM(B100:B107)</f>
        <v>36</v>
      </c>
      <c r="C108" s="161" t="str">
        <f xml:space="preserve"> setValueToTime(B108)</f>
        <v>3h</v>
      </c>
      <c r="D108" s="120"/>
      <c r="E108" s="241"/>
      <c r="F108" s="242"/>
      <c r="G108" s="50"/>
    </row>
    <row r="109" spans="1:7" s="58" customFormat="1" ht="15" thickBot="1">
      <c r="A109" s="76"/>
      <c r="B109" s="76"/>
      <c r="C109" s="76"/>
      <c r="D109" s="76"/>
      <c r="E109" s="76"/>
      <c r="F109" s="76"/>
      <c r="G109" s="57"/>
    </row>
    <row r="110" spans="1:7" s="46" customFormat="1" ht="30" customHeight="1" thickBot="1">
      <c r="A110" s="155" t="s">
        <v>11</v>
      </c>
      <c r="B110" s="163">
        <v>4</v>
      </c>
      <c r="C110" s="163"/>
      <c r="D110" s="156" t="s">
        <v>14</v>
      </c>
      <c r="E110" s="157" t="s">
        <v>97</v>
      </c>
      <c r="F110" s="158" t="s">
        <v>91</v>
      </c>
      <c r="G110" s="45"/>
    </row>
    <row r="111" spans="1:7" s="46" customFormat="1" ht="30" customHeight="1" thickBot="1">
      <c r="A111" s="77" t="s">
        <v>4</v>
      </c>
      <c r="B111" s="160" t="s">
        <v>38</v>
      </c>
      <c r="C111" s="159"/>
      <c r="D111" s="77" t="s">
        <v>12</v>
      </c>
      <c r="E111" s="243" t="s">
        <v>13</v>
      </c>
      <c r="F111" s="244"/>
      <c r="G111" s="45"/>
    </row>
    <row r="112" spans="1:7" s="51" customFormat="1" ht="81">
      <c r="A112" s="47" t="s">
        <v>58</v>
      </c>
      <c r="B112" s="48">
        <v>33</v>
      </c>
      <c r="C112" s="151" t="str">
        <f xml:space="preserve"> IF(B112="","",setValueToTime(B112))</f>
        <v>2h45min</v>
      </c>
      <c r="D112" s="165" t="s">
        <v>102</v>
      </c>
      <c r="E112" s="239"/>
      <c r="F112" s="240"/>
      <c r="G112" s="50"/>
    </row>
    <row r="113" spans="1:7" s="51" customFormat="1">
      <c r="A113" s="52" t="s">
        <v>15</v>
      </c>
      <c r="B113" s="53">
        <v>3</v>
      </c>
      <c r="C113" s="152" t="str">
        <f t="shared" ref="C113:C119" si="9" xml:space="preserve"> IF(B113="","",setValueToTime(B113))</f>
        <v>0h15min</v>
      </c>
      <c r="D113" s="166" t="s">
        <v>103</v>
      </c>
      <c r="E113" s="231"/>
      <c r="F113" s="232"/>
      <c r="G113" s="50"/>
    </row>
    <row r="114" spans="1:7" s="51" customFormat="1">
      <c r="A114" s="52"/>
      <c r="B114" s="53"/>
      <c r="C114" s="152" t="str">
        <f t="shared" si="9"/>
        <v/>
      </c>
      <c r="D114" s="54"/>
      <c r="E114" s="231"/>
      <c r="F114" s="232"/>
      <c r="G114" s="50"/>
    </row>
    <row r="115" spans="1:7" s="51" customFormat="1">
      <c r="A115" s="52"/>
      <c r="B115" s="53"/>
      <c r="C115" s="152" t="str">
        <f t="shared" si="9"/>
        <v/>
      </c>
      <c r="D115" s="54"/>
      <c r="E115" s="231"/>
      <c r="F115" s="232"/>
      <c r="G115" s="50"/>
    </row>
    <row r="116" spans="1:7" s="51" customFormat="1">
      <c r="A116" s="53"/>
      <c r="B116" s="53"/>
      <c r="C116" s="153" t="str">
        <f t="shared" si="9"/>
        <v/>
      </c>
      <c r="D116" s="54"/>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15" thickBot="1">
      <c r="A120" s="161" t="s">
        <v>27</v>
      </c>
      <c r="B120" s="82">
        <f>SUM(B112:B119)</f>
        <v>36</v>
      </c>
      <c r="C120" s="161" t="str">
        <f xml:space="preserve"> setValueToTime(B120)</f>
        <v>3h</v>
      </c>
      <c r="D120" s="120"/>
      <c r="E120" s="241"/>
      <c r="F120" s="242"/>
      <c r="G120" s="50"/>
    </row>
    <row r="121" spans="1:7" s="58" customFormat="1" ht="15" thickBot="1">
      <c r="A121" s="76"/>
      <c r="B121" s="76"/>
      <c r="C121" s="76"/>
      <c r="D121" s="76"/>
      <c r="E121" s="76"/>
      <c r="F121" s="76"/>
      <c r="G121" s="57"/>
    </row>
    <row r="122" spans="1:7" s="46" customFormat="1" ht="30" customHeight="1" thickBot="1">
      <c r="A122" s="155" t="s">
        <v>11</v>
      </c>
      <c r="B122" s="163">
        <v>3</v>
      </c>
      <c r="C122" s="163"/>
      <c r="D122" s="156" t="s">
        <v>14</v>
      </c>
      <c r="E122" s="157" t="s">
        <v>97</v>
      </c>
      <c r="F122" s="158" t="s">
        <v>86</v>
      </c>
      <c r="G122" s="45"/>
    </row>
    <row r="123" spans="1:7" s="46" customFormat="1" ht="30" customHeight="1" thickBot="1">
      <c r="A123" s="77" t="s">
        <v>4</v>
      </c>
      <c r="B123" s="160" t="s">
        <v>38</v>
      </c>
      <c r="C123" s="159"/>
      <c r="D123" s="77" t="s">
        <v>12</v>
      </c>
      <c r="E123" s="243" t="s">
        <v>13</v>
      </c>
      <c r="F123" s="244"/>
      <c r="G123" s="45"/>
    </row>
    <row r="124" spans="1:7" s="51" customFormat="1">
      <c r="A124" s="47" t="s">
        <v>56</v>
      </c>
      <c r="B124" s="48">
        <v>3</v>
      </c>
      <c r="C124" s="151" t="str">
        <f xml:space="preserve"> IF(B124="","",setValueToTime(B124))</f>
        <v>0h15min</v>
      </c>
      <c r="D124" s="165" t="s">
        <v>98</v>
      </c>
      <c r="E124" s="239"/>
      <c r="F124" s="240"/>
      <c r="G124" s="50"/>
    </row>
    <row r="125" spans="1:7" s="51" customFormat="1">
      <c r="A125" s="52" t="s">
        <v>50</v>
      </c>
      <c r="B125" s="53">
        <v>15</v>
      </c>
      <c r="C125" s="152" t="str">
        <f t="shared" ref="C125:C131" si="10" xml:space="preserve"> IF(B125="","",setValueToTime(B125))</f>
        <v>1h15min</v>
      </c>
      <c r="D125" s="166" t="s">
        <v>99</v>
      </c>
      <c r="E125" s="231"/>
      <c r="F125" s="232"/>
      <c r="G125" s="50"/>
    </row>
    <row r="126" spans="1:7" s="51" customFormat="1" ht="27">
      <c r="A126" s="52" t="s">
        <v>52</v>
      </c>
      <c r="B126" s="53">
        <v>6</v>
      </c>
      <c r="C126" s="152" t="str">
        <f t="shared" si="10"/>
        <v>0h30min</v>
      </c>
      <c r="D126" s="166" t="s">
        <v>100</v>
      </c>
      <c r="E126" s="231"/>
      <c r="F126" s="232"/>
      <c r="G126" s="50"/>
    </row>
    <row r="127" spans="1:7" s="51" customFormat="1" ht="67.5">
      <c r="A127" s="52" t="s">
        <v>58</v>
      </c>
      <c r="B127" s="53">
        <v>12</v>
      </c>
      <c r="C127" s="152" t="str">
        <f t="shared" si="10"/>
        <v>1h</v>
      </c>
      <c r="D127" s="166" t="s">
        <v>101</v>
      </c>
      <c r="E127" s="231"/>
      <c r="F127" s="232"/>
      <c r="G127" s="50"/>
    </row>
    <row r="128" spans="1:7" s="51" customFormat="1">
      <c r="A128" s="53"/>
      <c r="B128" s="53"/>
      <c r="C128" s="153" t="str">
        <f t="shared" si="10"/>
        <v/>
      </c>
      <c r="D128" s="54"/>
      <c r="E128" s="231"/>
      <c r="F128" s="232"/>
      <c r="G128" s="50"/>
    </row>
    <row r="129" spans="1:7" s="51" customFormat="1">
      <c r="A129" s="53"/>
      <c r="B129" s="53"/>
      <c r="C129" s="153" t="str">
        <f t="shared" si="10"/>
        <v/>
      </c>
      <c r="D129" s="54"/>
      <c r="E129" s="231"/>
      <c r="F129" s="232"/>
      <c r="G129" s="50"/>
    </row>
    <row r="130" spans="1:7" s="51" customFormat="1">
      <c r="A130" s="53"/>
      <c r="B130" s="53"/>
      <c r="C130" s="153" t="str">
        <f t="shared" si="10"/>
        <v/>
      </c>
      <c r="D130" s="54"/>
      <c r="E130" s="231"/>
      <c r="F130" s="232"/>
      <c r="G130" s="50"/>
    </row>
    <row r="131" spans="1:7" s="51" customFormat="1" ht="15" thickBot="1">
      <c r="A131" s="55"/>
      <c r="B131" s="55"/>
      <c r="C131" s="154" t="str">
        <f t="shared" si="10"/>
        <v/>
      </c>
      <c r="D131" s="56"/>
      <c r="E131" s="233"/>
      <c r="F131" s="234"/>
      <c r="G131" s="50"/>
    </row>
    <row r="132" spans="1:7" s="51" customFormat="1" ht="15" thickBot="1">
      <c r="A132" s="161" t="s">
        <v>27</v>
      </c>
      <c r="B132" s="82">
        <f>SUM(B124:B131)</f>
        <v>36</v>
      </c>
      <c r="C132" s="161" t="str">
        <f xml:space="preserve"> setValueToTime(B132)</f>
        <v>3h</v>
      </c>
      <c r="D132" s="120"/>
      <c r="E132" s="241"/>
      <c r="F132" s="242"/>
      <c r="G132" s="50"/>
    </row>
    <row r="133" spans="1:7" s="58" customFormat="1" ht="15" thickBot="1">
      <c r="A133" s="76"/>
      <c r="B133" s="76"/>
      <c r="C133" s="76"/>
      <c r="D133" s="76"/>
      <c r="E133" s="76"/>
      <c r="F133" s="76"/>
      <c r="G133" s="57"/>
    </row>
    <row r="134" spans="1:7" s="46" customFormat="1" ht="30" customHeight="1" thickBot="1">
      <c r="A134" s="155" t="s">
        <v>11</v>
      </c>
      <c r="B134" s="163">
        <v>2</v>
      </c>
      <c r="C134" s="163"/>
      <c r="D134" s="156" t="s">
        <v>14</v>
      </c>
      <c r="E134" s="157" t="s">
        <v>71</v>
      </c>
      <c r="F134" s="158" t="s">
        <v>75</v>
      </c>
      <c r="G134" s="45"/>
    </row>
    <row r="135" spans="1:7" s="46" customFormat="1" ht="30" customHeight="1" thickBot="1">
      <c r="A135" s="77" t="s">
        <v>4</v>
      </c>
      <c r="B135" s="160" t="s">
        <v>38</v>
      </c>
      <c r="C135" s="159"/>
      <c r="D135" s="77" t="s">
        <v>12</v>
      </c>
      <c r="E135" s="243" t="s">
        <v>13</v>
      </c>
      <c r="F135" s="244"/>
      <c r="G135" s="45"/>
    </row>
    <row r="136" spans="1:7" s="51" customFormat="1" ht="67.5">
      <c r="A136" s="47" t="s">
        <v>58</v>
      </c>
      <c r="B136" s="48">
        <v>33</v>
      </c>
      <c r="C136" s="151" t="str">
        <f xml:space="preserve"> IF(B136="","",setValueToTime(B136))</f>
        <v>2h45min</v>
      </c>
      <c r="D136" s="165" t="s">
        <v>84</v>
      </c>
      <c r="E136" s="239"/>
      <c r="F136" s="240"/>
      <c r="G136" s="50"/>
    </row>
    <row r="137" spans="1:7" s="51" customFormat="1">
      <c r="A137" s="52" t="s">
        <v>15</v>
      </c>
      <c r="B137" s="53">
        <v>3</v>
      </c>
      <c r="C137" s="152" t="str">
        <f t="shared" ref="C137:C143" si="11" xml:space="preserve"> IF(B137="","",setValueToTime(B137))</f>
        <v>0h15min</v>
      </c>
      <c r="D137" s="166" t="s">
        <v>85</v>
      </c>
      <c r="E137" s="231"/>
      <c r="F137" s="232"/>
      <c r="G137" s="50"/>
    </row>
    <row r="138" spans="1:7" s="51" customFormat="1">
      <c r="A138" s="52"/>
      <c r="B138" s="53"/>
      <c r="C138" s="152" t="str">
        <f t="shared" si="11"/>
        <v/>
      </c>
      <c r="D138" s="54"/>
      <c r="E138" s="231"/>
      <c r="F138" s="232"/>
      <c r="G138" s="50"/>
    </row>
    <row r="139" spans="1:7" s="51" customFormat="1">
      <c r="A139" s="52"/>
      <c r="B139" s="53"/>
      <c r="C139" s="152" t="str">
        <f t="shared" si="11"/>
        <v/>
      </c>
      <c r="D139" s="54"/>
      <c r="E139" s="231"/>
      <c r="F139" s="232"/>
      <c r="G139" s="50"/>
    </row>
    <row r="140" spans="1:7" s="51" customFormat="1">
      <c r="A140" s="53"/>
      <c r="B140" s="53"/>
      <c r="C140" s="153" t="str">
        <f t="shared" si="11"/>
        <v/>
      </c>
      <c r="D140" s="54"/>
      <c r="E140" s="231"/>
      <c r="F140" s="232"/>
      <c r="G140" s="50"/>
    </row>
    <row r="141" spans="1:7" s="51" customFormat="1">
      <c r="A141" s="53"/>
      <c r="B141" s="53"/>
      <c r="C141" s="153" t="str">
        <f t="shared" si="11"/>
        <v/>
      </c>
      <c r="D141" s="54"/>
      <c r="E141" s="231"/>
      <c r="F141" s="232"/>
      <c r="G141" s="50"/>
    </row>
    <row r="142" spans="1:7" s="51" customFormat="1">
      <c r="A142" s="53"/>
      <c r="B142" s="53"/>
      <c r="C142" s="153" t="str">
        <f t="shared" si="11"/>
        <v/>
      </c>
      <c r="D142" s="54"/>
      <c r="E142" s="231"/>
      <c r="F142" s="232"/>
      <c r="G142" s="50"/>
    </row>
    <row r="143" spans="1:7" s="51" customFormat="1" ht="15" thickBot="1">
      <c r="A143" s="55"/>
      <c r="B143" s="55"/>
      <c r="C143" s="154" t="str">
        <f t="shared" si="11"/>
        <v/>
      </c>
      <c r="D143" s="56"/>
      <c r="E143" s="233"/>
      <c r="F143" s="234"/>
      <c r="G143" s="50"/>
    </row>
    <row r="144" spans="1:7" s="51" customFormat="1" ht="15" thickBot="1">
      <c r="A144" s="161" t="s">
        <v>27</v>
      </c>
      <c r="B144" s="82">
        <f>SUM(B136:B143)</f>
        <v>36</v>
      </c>
      <c r="C144" s="161" t="str">
        <f xml:space="preserve"> setValueToTime(B144)</f>
        <v>3h</v>
      </c>
      <c r="D144" s="120"/>
      <c r="E144" s="241"/>
      <c r="F144" s="242"/>
      <c r="G144" s="50"/>
    </row>
    <row r="145" spans="1:7" s="58" customFormat="1" ht="15" thickBot="1">
      <c r="A145" s="76"/>
      <c r="B145" s="76"/>
      <c r="C145" s="76"/>
      <c r="D145" s="76"/>
      <c r="E145" s="76"/>
      <c r="F145" s="76"/>
      <c r="G145" s="57"/>
    </row>
    <row r="146" spans="1:7" s="46" customFormat="1" ht="30" customHeight="1" thickBot="1">
      <c r="A146" s="155" t="s">
        <v>11</v>
      </c>
      <c r="B146" s="163">
        <v>1</v>
      </c>
      <c r="C146" s="163"/>
      <c r="D146" s="156" t="s">
        <v>14</v>
      </c>
      <c r="E146" s="157" t="s">
        <v>71</v>
      </c>
      <c r="F146" s="158" t="s">
        <v>74</v>
      </c>
      <c r="G146" s="45"/>
    </row>
    <row r="147" spans="1:7" s="46" customFormat="1" ht="30" customHeight="1" thickBot="1">
      <c r="A147" s="77" t="s">
        <v>4</v>
      </c>
      <c r="B147" s="160" t="s">
        <v>38</v>
      </c>
      <c r="C147" s="159"/>
      <c r="D147" s="77" t="s">
        <v>12</v>
      </c>
      <c r="E147" s="243" t="s">
        <v>13</v>
      </c>
      <c r="F147" s="244"/>
      <c r="G147" s="45"/>
    </row>
    <row r="148" spans="1:7" s="51" customFormat="1">
      <c r="A148" s="47" t="s">
        <v>51</v>
      </c>
      <c r="B148" s="48">
        <v>12</v>
      </c>
      <c r="C148" s="151" t="str">
        <f xml:space="preserve"> IF(B148="","",setValueToTime(B148))</f>
        <v>1h</v>
      </c>
      <c r="D148" s="165" t="s">
        <v>79</v>
      </c>
      <c r="E148" s="239"/>
      <c r="F148" s="240"/>
      <c r="G148" s="50"/>
    </row>
    <row r="149" spans="1:7" s="51" customFormat="1">
      <c r="A149" s="52" t="s">
        <v>56</v>
      </c>
      <c r="B149" s="53">
        <v>9</v>
      </c>
      <c r="C149" s="152" t="str">
        <f t="shared" ref="C149:C155" si="12" xml:space="preserve"> IF(B149="","",setValueToTime(B149))</f>
        <v>0h45min</v>
      </c>
      <c r="D149" s="166" t="s">
        <v>69</v>
      </c>
      <c r="E149" s="231"/>
      <c r="F149" s="232"/>
      <c r="G149" s="50"/>
    </row>
    <row r="150" spans="1:7" s="51" customFormat="1" ht="27">
      <c r="A150" s="52" t="s">
        <v>64</v>
      </c>
      <c r="B150" s="53">
        <v>9</v>
      </c>
      <c r="C150" s="152" t="str">
        <f t="shared" si="12"/>
        <v>0h45min</v>
      </c>
      <c r="D150" s="166" t="s">
        <v>81</v>
      </c>
      <c r="E150" s="245" t="s">
        <v>80</v>
      </c>
      <c r="F150" s="232"/>
      <c r="G150" s="50"/>
    </row>
    <row r="151" spans="1:7" s="51" customFormat="1" ht="27">
      <c r="A151" s="52" t="s">
        <v>65</v>
      </c>
      <c r="B151" s="53">
        <v>3</v>
      </c>
      <c r="C151" s="152" t="str">
        <f t="shared" si="12"/>
        <v>0h15min</v>
      </c>
      <c r="D151" s="166" t="s">
        <v>82</v>
      </c>
      <c r="E151" s="231"/>
      <c r="F151" s="232"/>
      <c r="G151" s="50"/>
    </row>
    <row r="152" spans="1:7" s="51" customFormat="1" ht="40.5">
      <c r="A152" s="53" t="s">
        <v>58</v>
      </c>
      <c r="B152" s="53">
        <v>18</v>
      </c>
      <c r="C152" s="153" t="str">
        <f t="shared" si="12"/>
        <v>1h30min</v>
      </c>
      <c r="D152" s="166" t="s">
        <v>83</v>
      </c>
      <c r="E152" s="231"/>
      <c r="F152" s="232"/>
      <c r="G152" s="50"/>
    </row>
    <row r="153" spans="1:7" s="51" customFormat="1">
      <c r="A153" s="53"/>
      <c r="B153" s="53"/>
      <c r="C153" s="153" t="str">
        <f t="shared" si="12"/>
        <v/>
      </c>
      <c r="D153" s="54"/>
      <c r="E153" s="231"/>
      <c r="F153" s="232"/>
      <c r="G153" s="50"/>
    </row>
    <row r="154" spans="1:7" s="51" customFormat="1">
      <c r="A154" s="53"/>
      <c r="B154" s="53"/>
      <c r="C154" s="153" t="str">
        <f t="shared" si="12"/>
        <v/>
      </c>
      <c r="D154" s="54"/>
      <c r="E154" s="231"/>
      <c r="F154" s="232"/>
      <c r="G154" s="50"/>
    </row>
    <row r="155" spans="1:7" s="51" customFormat="1" ht="15" thickBot="1">
      <c r="A155" s="55"/>
      <c r="B155" s="55"/>
      <c r="C155" s="154" t="str">
        <f t="shared" si="12"/>
        <v/>
      </c>
      <c r="D155" s="56"/>
      <c r="E155" s="233"/>
      <c r="F155" s="234"/>
      <c r="G155" s="50"/>
    </row>
    <row r="156" spans="1:7" s="51" customFormat="1" ht="27.75" thickBot="1">
      <c r="A156" s="161" t="s">
        <v>27</v>
      </c>
      <c r="B156" s="82">
        <f>SUM(B148:B155)</f>
        <v>51</v>
      </c>
      <c r="C156" s="161" t="str">
        <f xml:space="preserve"> setValueToTime(B156)</f>
        <v>4h15min</v>
      </c>
      <c r="D156" s="120"/>
      <c r="E156" s="241"/>
      <c r="F156" s="242"/>
      <c r="G156" s="50"/>
    </row>
    <row r="157" spans="1:7" s="58" customFormat="1">
      <c r="A157" s="76"/>
      <c r="B157" s="76"/>
      <c r="C157" s="76"/>
      <c r="D157" s="76"/>
      <c r="E157" s="76"/>
      <c r="F157" s="76"/>
      <c r="G157" s="57"/>
    </row>
  </sheetData>
  <sheetProtection formatRows="0" insertRows="0" insertHyperlinks="0" deleteRows="0" selectLockedCells="1"/>
  <mergeCells count="130">
    <mergeCell ref="E120:F120"/>
    <mergeCell ref="E123:F123"/>
    <mergeCell ref="E3:F3"/>
    <mergeCell ref="E4:F4"/>
    <mergeCell ref="E5:F5"/>
    <mergeCell ref="E6:F6"/>
    <mergeCell ref="E7:F7"/>
    <mergeCell ref="E8:F8"/>
    <mergeCell ref="E9:F9"/>
    <mergeCell ref="E10:F10"/>
    <mergeCell ref="E11:F11"/>
    <mergeCell ref="E12:F12"/>
    <mergeCell ref="E132:F132"/>
    <mergeCell ref="E154:F154"/>
    <mergeCell ref="E125:F125"/>
    <mergeCell ref="E126:F126"/>
    <mergeCell ref="E127:F127"/>
    <mergeCell ref="E27:F27"/>
    <mergeCell ref="E28:F28"/>
    <mergeCell ref="E29:F29"/>
    <mergeCell ref="E30:F30"/>
    <mergeCell ref="E31:F31"/>
    <mergeCell ref="E32:F32"/>
    <mergeCell ref="E33:F33"/>
    <mergeCell ref="E34:F34"/>
    <mergeCell ref="E35:F35"/>
    <mergeCell ref="E36:F36"/>
    <mergeCell ref="E111:F111"/>
    <mergeCell ref="E112:F112"/>
    <mergeCell ref="E113:F113"/>
    <mergeCell ref="E114:F114"/>
    <mergeCell ref="E115:F115"/>
    <mergeCell ref="E116:F116"/>
    <mergeCell ref="E117:F117"/>
    <mergeCell ref="E118:F118"/>
    <mergeCell ref="E119:F119"/>
    <mergeCell ref="E124:F124"/>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4:F144"/>
    <mergeCell ref="E153:F153"/>
    <mergeCell ref="E155:F155"/>
    <mergeCell ref="E141:F141"/>
    <mergeCell ref="E142:F142"/>
    <mergeCell ref="E143:F143"/>
    <mergeCell ref="E128:F128"/>
    <mergeCell ref="E129:F129"/>
    <mergeCell ref="E130:F130"/>
    <mergeCell ref="E131:F131"/>
    <mergeCell ref="E107:F107"/>
    <mergeCell ref="E108:F108"/>
    <mergeCell ref="E99:F99"/>
    <mergeCell ref="E100:F100"/>
    <mergeCell ref="E101:F101"/>
    <mergeCell ref="E102:F102"/>
    <mergeCell ref="E103:F103"/>
    <mergeCell ref="E104:F104"/>
    <mergeCell ref="E105:F105"/>
    <mergeCell ref="E106:F106"/>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15:F15"/>
    <mergeCell ref="E16:F16"/>
    <mergeCell ref="E17:F17"/>
    <mergeCell ref="E18:F18"/>
    <mergeCell ref="E19:F19"/>
    <mergeCell ref="E20:F20"/>
    <mergeCell ref="E21:F21"/>
    <mergeCell ref="E22:F22"/>
    <mergeCell ref="E23:F23"/>
    <mergeCell ref="E24:F24"/>
    <mergeCell ref="E39:F39"/>
    <mergeCell ref="E40:F40"/>
    <mergeCell ref="E41:F41"/>
    <mergeCell ref="E42:F42"/>
    <mergeCell ref="E43:F43"/>
    <mergeCell ref="E44:F44"/>
    <mergeCell ref="E45:F45"/>
    <mergeCell ref="E46:F46"/>
    <mergeCell ref="E47:F47"/>
  </mergeCells>
  <phoneticPr fontId="0" type="noConversion"/>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list" allowBlank="1" showInputMessage="1" showErrorMessage="1" sqref="A148:A155 A136:A143 A124:A131 A112:A119 A100:A107 A88:A95 A76:A83 A64:A71 A52:A59 A40:A47 A28:A35 A16:A23 A4:A11">
      <formula1>ListeTaches</formula1>
    </dataValidation>
  </dataValidations>
  <hyperlinks>
    <hyperlink ref="E15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89"/>
    </row>
    <row r="11" spans="1:61" ht="18">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89"/>
    </row>
    <row r="12" spans="1:61" ht="18.75" thickBot="1">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89"/>
    </row>
    <row r="13" spans="1:61" ht="18.75" thickBot="1">
      <c r="A13" s="202" t="s">
        <v>11</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89"/>
    </row>
    <row r="14" spans="1:61" ht="15.75" thickBot="1">
      <c r="A14" s="102"/>
      <c r="B14" s="103"/>
      <c r="C14" s="103"/>
      <c r="D14" s="103"/>
      <c r="E14" s="205" t="s">
        <v>32</v>
      </c>
      <c r="F14" s="205"/>
      <c r="G14" s="205"/>
      <c r="H14" s="205"/>
      <c r="I14" s="103"/>
      <c r="J14" s="103"/>
      <c r="K14" s="206" t="s">
        <v>22</v>
      </c>
      <c r="L14" s="206"/>
      <c r="M14" s="206"/>
      <c r="N14" s="206"/>
      <c r="O14" s="128"/>
      <c r="P14" s="128"/>
      <c r="Q14" s="205" t="s">
        <v>33</v>
      </c>
      <c r="R14" s="205"/>
      <c r="S14" s="205"/>
      <c r="T14" s="205"/>
      <c r="U14" s="103"/>
      <c r="V14" s="103"/>
      <c r="W14" s="206" t="s">
        <v>23</v>
      </c>
      <c r="X14" s="206"/>
      <c r="Y14" s="206"/>
      <c r="Z14" s="206"/>
      <c r="AA14" s="128"/>
      <c r="AB14" s="128"/>
      <c r="AC14" s="205" t="s">
        <v>34</v>
      </c>
      <c r="AD14" s="205"/>
      <c r="AE14" s="205"/>
      <c r="AF14" s="205"/>
      <c r="AG14" s="103"/>
      <c r="AH14" s="103"/>
      <c r="AI14" s="206" t="s">
        <v>24</v>
      </c>
      <c r="AJ14" s="206"/>
      <c r="AK14" s="206"/>
      <c r="AL14" s="206"/>
      <c r="AM14" s="128"/>
      <c r="AN14" s="128"/>
      <c r="AO14" s="205" t="s">
        <v>35</v>
      </c>
      <c r="AP14" s="205"/>
      <c r="AQ14" s="205"/>
      <c r="AR14" s="205"/>
      <c r="AS14" s="103"/>
      <c r="AT14" s="103"/>
      <c r="AU14" s="206" t="s">
        <v>25</v>
      </c>
      <c r="AV14" s="206"/>
      <c r="AW14" s="206"/>
      <c r="AX14" s="206"/>
      <c r="AY14" s="128"/>
      <c r="AZ14" s="128"/>
      <c r="BA14" s="205" t="s">
        <v>36</v>
      </c>
      <c r="BB14" s="205"/>
      <c r="BC14" s="205"/>
      <c r="BD14" s="205"/>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3" t="s">
        <v>13</v>
      </c>
      <c r="F2" s="244"/>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61" t="s">
        <v>27</v>
      </c>
      <c r="B11" s="82">
        <f>SUM(B3:B10)</f>
        <v>0</v>
      </c>
      <c r="C11" s="161" t="str">
        <f xml:space="preserve"> setValueToTime(B11)</f>
        <v>0h</v>
      </c>
      <c r="D11" s="120"/>
      <c r="E11" s="241"/>
      <c r="F11" s="242"/>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2021-02-05T15:31:54Z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