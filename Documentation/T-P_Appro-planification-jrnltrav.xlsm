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0" l="1"/>
  <c r="C11" i="10"/>
  <c r="C10" i="10"/>
  <c r="C9" i="10"/>
  <c r="C8" i="10"/>
  <c r="C7" i="10"/>
  <c r="B24" i="10"/>
  <c r="C23" i="10"/>
  <c r="C22" i="10"/>
  <c r="C21" i="10"/>
  <c r="C20" i="10"/>
  <c r="C19" i="10"/>
  <c r="C18" i="10"/>
  <c r="B12" i="12"/>
  <c r="C11" i="12"/>
  <c r="C10" i="12"/>
  <c r="C9" i="12"/>
  <c r="C8" i="12"/>
  <c r="C7" i="12"/>
  <c r="C6" i="12"/>
  <c r="B24" i="12"/>
  <c r="C23" i="12"/>
  <c r="C22" i="12"/>
  <c r="C21" i="12"/>
  <c r="C20" i="12"/>
  <c r="C19" i="12"/>
  <c r="C18" i="12"/>
  <c r="C6" i="10"/>
  <c r="C5" i="10"/>
  <c r="C4" i="10"/>
  <c r="C17" i="10"/>
  <c r="C16" i="10"/>
  <c r="C12" i="10"/>
  <c r="C24" i="10"/>
  <c r="C5" i="12"/>
  <c r="C4" i="12"/>
  <c r="C17" i="12"/>
  <c r="C16" i="12"/>
  <c r="C12" i="12"/>
  <c r="C24" i="12"/>
  <c r="B36" i="10" l="1"/>
  <c r="C35" i="10"/>
  <c r="C34" i="10"/>
  <c r="C33" i="10"/>
  <c r="C32" i="10"/>
  <c r="C31" i="10"/>
  <c r="C30" i="10"/>
  <c r="B36" i="12"/>
  <c r="C35" i="12"/>
  <c r="C34" i="12"/>
  <c r="C33" i="12"/>
  <c r="C32" i="12"/>
  <c r="C31" i="12"/>
  <c r="C30" i="12"/>
  <c r="C29" i="10"/>
  <c r="C28" i="10"/>
  <c r="C36" i="10"/>
  <c r="C29" i="12"/>
  <c r="C28" i="12"/>
  <c r="C36" i="12"/>
  <c r="B48" i="12" l="1"/>
  <c r="C47" i="12"/>
  <c r="C46" i="12"/>
  <c r="C45" i="12"/>
  <c r="C44" i="12"/>
  <c r="C43" i="12"/>
  <c r="C42" i="12"/>
  <c r="B60" i="12"/>
  <c r="C59" i="12"/>
  <c r="C58" i="12"/>
  <c r="C57" i="12"/>
  <c r="C56" i="12"/>
  <c r="C55" i="12"/>
  <c r="C54" i="12"/>
  <c r="C41" i="12"/>
  <c r="C40" i="12"/>
  <c r="C48" i="12"/>
  <c r="C53" i="12"/>
  <c r="C52" i="12"/>
  <c r="C60" i="12"/>
  <c r="B48" i="10" l="1"/>
  <c r="C47" i="10"/>
  <c r="C46" i="10"/>
  <c r="C45" i="10"/>
  <c r="C44" i="10"/>
  <c r="C43" i="10"/>
  <c r="B60" i="10"/>
  <c r="C59" i="10"/>
  <c r="C58" i="10"/>
  <c r="C57" i="10"/>
  <c r="C56" i="10"/>
  <c r="C55" i="10"/>
  <c r="C54" i="10"/>
  <c r="C41" i="10"/>
  <c r="C40" i="10"/>
  <c r="C53" i="10"/>
  <c r="C52" i="10"/>
  <c r="C60" i="10"/>
  <c r="C48" i="10"/>
  <c r="C42" i="10"/>
  <c r="B72" i="12" l="1"/>
  <c r="C71" i="12"/>
  <c r="C70" i="12"/>
  <c r="C69" i="12"/>
  <c r="C68" i="12"/>
  <c r="C67" i="12"/>
  <c r="B84" i="12"/>
  <c r="C83" i="12"/>
  <c r="C82" i="12"/>
  <c r="C81" i="12"/>
  <c r="C80" i="12"/>
  <c r="C79" i="12"/>
  <c r="C78" i="12"/>
  <c r="B72" i="10"/>
  <c r="C71" i="10"/>
  <c r="C70" i="10"/>
  <c r="C69" i="10"/>
  <c r="C68" i="10"/>
  <c r="C67" i="10"/>
  <c r="C66" i="10"/>
  <c r="B84" i="10"/>
  <c r="C83" i="10"/>
  <c r="C82" i="10"/>
  <c r="C81" i="10"/>
  <c r="C80" i="10"/>
  <c r="C79" i="10"/>
  <c r="C78" i="10"/>
  <c r="C66" i="12"/>
  <c r="C65" i="12"/>
  <c r="C64" i="12"/>
  <c r="C72" i="12"/>
  <c r="C77" i="12"/>
  <c r="C76" i="12"/>
  <c r="C84" i="12"/>
  <c r="C65" i="10"/>
  <c r="C64" i="10"/>
  <c r="C77" i="10"/>
  <c r="C76" i="10"/>
  <c r="C72" i="10"/>
  <c r="C84" i="10"/>
  <c r="B96" i="12" l="1"/>
  <c r="C95" i="12"/>
  <c r="C94" i="12"/>
  <c r="C93" i="12"/>
  <c r="C92" i="12"/>
  <c r="C91" i="12"/>
  <c r="C90" i="12"/>
  <c r="C89" i="12"/>
  <c r="C88" i="12"/>
  <c r="C96" i="12"/>
  <c r="B108" i="12" l="1"/>
  <c r="C107" i="12"/>
  <c r="C106" i="12"/>
  <c r="C105" i="12"/>
  <c r="C104" i="12"/>
  <c r="C103" i="12"/>
  <c r="C102" i="12"/>
  <c r="B96" i="10"/>
  <c r="C95" i="10"/>
  <c r="C94" i="10"/>
  <c r="C93" i="10"/>
  <c r="C92" i="10"/>
  <c r="C91" i="10"/>
  <c r="C90" i="10"/>
  <c r="B108" i="10"/>
  <c r="C107" i="10"/>
  <c r="C106" i="10"/>
  <c r="C105" i="10"/>
  <c r="C104" i="10"/>
  <c r="C103" i="10"/>
  <c r="C102" i="10"/>
  <c r="C101" i="12"/>
  <c r="C100" i="12"/>
  <c r="C108" i="12"/>
  <c r="C101" i="10"/>
  <c r="C100" i="10"/>
  <c r="C89" i="10"/>
  <c r="C88" i="10"/>
  <c r="C96" i="10"/>
  <c r="C108" i="10"/>
  <c r="B120" i="12" l="1"/>
  <c r="C119" i="12"/>
  <c r="C118" i="12"/>
  <c r="C117" i="12"/>
  <c r="C116" i="12"/>
  <c r="C115" i="12"/>
  <c r="C114" i="12"/>
  <c r="C113" i="12"/>
  <c r="C112" i="12"/>
  <c r="C120" i="12"/>
  <c r="B132" i="12" l="1"/>
  <c r="C131" i="12"/>
  <c r="C130" i="12"/>
  <c r="C129" i="12"/>
  <c r="C128" i="12"/>
  <c r="C127" i="12"/>
  <c r="C126" i="12"/>
  <c r="C125" i="12"/>
  <c r="C124" i="12"/>
  <c r="C132" i="12"/>
  <c r="B120" i="10" l="1"/>
  <c r="C119" i="10"/>
  <c r="C118" i="10"/>
  <c r="C117" i="10"/>
  <c r="C116" i="10"/>
  <c r="C115" i="10"/>
  <c r="C114" i="10"/>
  <c r="B132" i="10"/>
  <c r="C131" i="10"/>
  <c r="C130" i="10"/>
  <c r="C129" i="10"/>
  <c r="C128" i="10"/>
  <c r="C127" i="10"/>
  <c r="C126" i="10"/>
  <c r="B144" i="10"/>
  <c r="C143" i="10"/>
  <c r="C142" i="10"/>
  <c r="C141" i="10"/>
  <c r="C140" i="10"/>
  <c r="C139" i="10"/>
  <c r="C138" i="10"/>
  <c r="B144" i="12"/>
  <c r="C143" i="12"/>
  <c r="C142" i="12"/>
  <c r="C141" i="12"/>
  <c r="C140" i="12"/>
  <c r="C139" i="12"/>
  <c r="C138" i="12"/>
  <c r="C137" i="12"/>
  <c r="C136" i="12"/>
  <c r="C144" i="12"/>
  <c r="C120" i="10"/>
  <c r="C132" i="10"/>
  <c r="C136" i="10"/>
  <c r="C112" i="10"/>
  <c r="C125" i="10"/>
  <c r="C144" i="10"/>
  <c r="C124" i="10"/>
  <c r="C113" i="10"/>
  <c r="C137" i="10"/>
  <c r="B156" i="12" l="1"/>
  <c r="C155" i="12"/>
  <c r="C154" i="12"/>
  <c r="C153" i="12"/>
  <c r="C152" i="12"/>
  <c r="C151" i="12"/>
  <c r="C150" i="12"/>
  <c r="B168" i="12"/>
  <c r="C167" i="12"/>
  <c r="C166" i="12"/>
  <c r="C165" i="12"/>
  <c r="C164" i="12"/>
  <c r="C163" i="12"/>
  <c r="C162" i="12"/>
  <c r="C149" i="12"/>
  <c r="C148" i="12"/>
  <c r="C156" i="12"/>
  <c r="C161" i="12"/>
  <c r="C160" i="12"/>
  <c r="C168" i="12"/>
  <c r="B180" i="12" l="1"/>
  <c r="C179" i="12"/>
  <c r="C178" i="12"/>
  <c r="C177" i="12"/>
  <c r="C176" i="12"/>
  <c r="C175" i="12"/>
  <c r="C174" i="12"/>
  <c r="C173" i="12"/>
  <c r="C172" i="12"/>
  <c r="C180" i="12"/>
  <c r="B192" i="12" l="1"/>
  <c r="C191" i="12"/>
  <c r="C190" i="12"/>
  <c r="C189" i="12"/>
  <c r="C188" i="12"/>
  <c r="C187" i="12"/>
  <c r="C186" i="12"/>
  <c r="B204" i="12"/>
  <c r="C203" i="12"/>
  <c r="C202" i="12"/>
  <c r="C201" i="12"/>
  <c r="C200" i="12"/>
  <c r="C199" i="12"/>
  <c r="B156" i="10"/>
  <c r="C155" i="10"/>
  <c r="C154" i="10"/>
  <c r="C153" i="10"/>
  <c r="C152" i="10"/>
  <c r="C151" i="10"/>
  <c r="C150" i="10"/>
  <c r="B168" i="10"/>
  <c r="C167" i="10"/>
  <c r="C166" i="10"/>
  <c r="C165" i="10"/>
  <c r="C164" i="10"/>
  <c r="C163" i="10"/>
  <c r="C162" i="10"/>
  <c r="B180" i="10"/>
  <c r="C179" i="10"/>
  <c r="C178" i="10"/>
  <c r="C177" i="10"/>
  <c r="C176" i="10"/>
  <c r="C175" i="10"/>
  <c r="C174" i="10"/>
  <c r="B192" i="10"/>
  <c r="C191" i="10"/>
  <c r="C190" i="10"/>
  <c r="C189" i="10"/>
  <c r="C188" i="10"/>
  <c r="C187" i="10"/>
  <c r="C186" i="10"/>
  <c r="C185" i="12"/>
  <c r="C184" i="12"/>
  <c r="C198" i="12"/>
  <c r="C197" i="12"/>
  <c r="C196" i="12"/>
  <c r="C192" i="12"/>
  <c r="C204" i="12"/>
  <c r="C149" i="10"/>
  <c r="C156" i="10"/>
  <c r="C168" i="10"/>
  <c r="C161" i="10"/>
  <c r="C148" i="10"/>
  <c r="C180" i="10"/>
  <c r="C160" i="10"/>
  <c r="C192" i="10"/>
  <c r="C172" i="10"/>
  <c r="C173" i="10"/>
  <c r="C185" i="10"/>
  <c r="C184" i="10"/>
  <c r="B204" i="10" l="1"/>
  <c r="C203" i="10"/>
  <c r="C202" i="10"/>
  <c r="C201" i="10"/>
  <c r="C200" i="10"/>
  <c r="C199" i="10"/>
  <c r="B216" i="10"/>
  <c r="C215" i="10"/>
  <c r="C214" i="10"/>
  <c r="C213" i="10"/>
  <c r="C212" i="10"/>
  <c r="C211" i="10"/>
  <c r="C210" i="10"/>
  <c r="B216" i="12"/>
  <c r="C215" i="12"/>
  <c r="C214" i="12"/>
  <c r="C213" i="12"/>
  <c r="C212" i="12"/>
  <c r="C211" i="12"/>
  <c r="C210" i="12"/>
  <c r="C209" i="12"/>
  <c r="C208" i="12"/>
  <c r="C216" i="12"/>
  <c r="C196" i="10"/>
  <c r="C209" i="10"/>
  <c r="C204" i="10"/>
  <c r="C208" i="10"/>
  <c r="C216" i="10"/>
  <c r="C198" i="10"/>
  <c r="C197" i="10"/>
  <c r="B228" i="12" l="1"/>
  <c r="C227" i="12"/>
  <c r="C226" i="12"/>
  <c r="C225" i="12"/>
  <c r="C224" i="12"/>
  <c r="C223" i="12"/>
  <c r="C222" i="12"/>
  <c r="B240" i="12"/>
  <c r="C239" i="12"/>
  <c r="C238" i="12"/>
  <c r="C237" i="12"/>
  <c r="C236" i="12"/>
  <c r="C235" i="12"/>
  <c r="C234" i="12"/>
  <c r="C221" i="12"/>
  <c r="C220" i="12"/>
  <c r="C228" i="12"/>
  <c r="C233" i="12"/>
  <c r="C232" i="12"/>
  <c r="C240" i="12"/>
  <c r="B252" i="12" l="1"/>
  <c r="C251" i="12"/>
  <c r="C250" i="12"/>
  <c r="C249" i="12"/>
  <c r="C248" i="12"/>
  <c r="C247" i="12"/>
  <c r="C246" i="12"/>
  <c r="B264" i="12"/>
  <c r="C263" i="12"/>
  <c r="C262" i="12"/>
  <c r="C261" i="12"/>
  <c r="C260" i="12"/>
  <c r="C259" i="12"/>
  <c r="C258" i="12"/>
  <c r="C245" i="12"/>
  <c r="C244" i="12"/>
  <c r="C252" i="12"/>
  <c r="C257" i="12"/>
  <c r="C256" i="12"/>
  <c r="C264" i="12"/>
  <c r="B276" i="12" l="1"/>
  <c r="C275" i="12"/>
  <c r="C274" i="12"/>
  <c r="C273" i="12"/>
  <c r="C272" i="12"/>
  <c r="C271" i="12"/>
  <c r="C270" i="12"/>
  <c r="C269" i="12"/>
  <c r="C268" i="12"/>
  <c r="C276" i="12"/>
  <c r="B288" i="12" l="1"/>
  <c r="C287" i="12"/>
  <c r="C286" i="12"/>
  <c r="C285" i="12"/>
  <c r="C284" i="12"/>
  <c r="C283" i="12"/>
  <c r="B228" i="10"/>
  <c r="C227" i="10"/>
  <c r="C226" i="10"/>
  <c r="C225" i="10"/>
  <c r="C224" i="10"/>
  <c r="C223" i="10"/>
  <c r="C222" i="10"/>
  <c r="B240" i="10"/>
  <c r="C239" i="10"/>
  <c r="C238" i="10"/>
  <c r="C237" i="10"/>
  <c r="C236" i="10"/>
  <c r="C235" i="10"/>
  <c r="C234" i="10"/>
  <c r="B252" i="10"/>
  <c r="C251" i="10"/>
  <c r="C250" i="10"/>
  <c r="C249" i="10"/>
  <c r="C248" i="10"/>
  <c r="C247" i="10"/>
  <c r="C246" i="10"/>
  <c r="B264" i="10"/>
  <c r="C263" i="10"/>
  <c r="C262" i="10"/>
  <c r="C261" i="10"/>
  <c r="C260" i="10"/>
  <c r="C259" i="10"/>
  <c r="C258" i="10"/>
  <c r="B276" i="10"/>
  <c r="C275" i="10"/>
  <c r="C274" i="10"/>
  <c r="C273" i="10"/>
  <c r="C272" i="10"/>
  <c r="C271" i="10"/>
  <c r="C270" i="10"/>
  <c r="B288" i="10"/>
  <c r="C287" i="10"/>
  <c r="C286" i="10"/>
  <c r="C285" i="10"/>
  <c r="C284" i="10"/>
  <c r="C283" i="10"/>
  <c r="C282" i="10"/>
  <c r="C281" i="10"/>
  <c r="B300" i="10"/>
  <c r="C299" i="10"/>
  <c r="C298" i="10"/>
  <c r="C297" i="10"/>
  <c r="C296" i="10"/>
  <c r="C295" i="10"/>
  <c r="C294" i="10"/>
  <c r="C293" i="10"/>
  <c r="B300" i="12"/>
  <c r="C299" i="12"/>
  <c r="C298" i="12"/>
  <c r="C297" i="12"/>
  <c r="C296" i="12"/>
  <c r="C295" i="12"/>
  <c r="C294" i="12"/>
  <c r="C293" i="12"/>
  <c r="C282" i="12"/>
  <c r="C281" i="12"/>
  <c r="C280" i="12"/>
  <c r="C288" i="12"/>
  <c r="C292" i="12"/>
  <c r="C300" i="12"/>
  <c r="C280" i="10"/>
  <c r="C252" i="10"/>
  <c r="C240" i="10"/>
  <c r="C288" i="10"/>
  <c r="C257" i="10"/>
  <c r="C232" i="10"/>
  <c r="C292" i="10"/>
  <c r="C256" i="10"/>
  <c r="C300" i="10"/>
  <c r="C221" i="10"/>
  <c r="C228" i="10"/>
  <c r="C268" i="10"/>
  <c r="C220" i="10"/>
  <c r="C244" i="10"/>
  <c r="C264" i="10"/>
  <c r="C276" i="10"/>
  <c r="C269" i="10"/>
  <c r="C245" i="10"/>
  <c r="C233" i="10"/>
  <c r="B312" i="12" l="1"/>
  <c r="C311" i="12"/>
  <c r="C310" i="12"/>
  <c r="C309" i="12"/>
  <c r="C308" i="12"/>
  <c r="C307" i="12"/>
  <c r="C306" i="12"/>
  <c r="C305" i="12"/>
  <c r="C304" i="12"/>
  <c r="C312" i="12"/>
  <c r="B324" i="12" l="1"/>
  <c r="C323" i="12"/>
  <c r="C322" i="12"/>
  <c r="C321" i="12"/>
  <c r="C320" i="12"/>
  <c r="C319" i="12"/>
  <c r="C318" i="12"/>
  <c r="C317" i="12"/>
  <c r="C316" i="12"/>
  <c r="C324" i="12"/>
  <c r="B336" i="12" l="1"/>
  <c r="C335" i="12"/>
  <c r="C334" i="12"/>
  <c r="C333" i="12"/>
  <c r="C332" i="12"/>
  <c r="C331" i="12"/>
  <c r="C330" i="12"/>
  <c r="C329" i="12"/>
  <c r="C328" i="12"/>
  <c r="C336" i="12"/>
  <c r="B348" i="12" l="1"/>
  <c r="C347" i="12"/>
  <c r="C346" i="12"/>
  <c r="C345" i="12"/>
  <c r="C344" i="12"/>
  <c r="C343" i="12"/>
  <c r="C342" i="12"/>
  <c r="C340" i="12"/>
  <c r="C341" i="12"/>
  <c r="C348" i="12"/>
  <c r="B360" i="12" l="1"/>
  <c r="C359" i="12"/>
  <c r="C358" i="12"/>
  <c r="C357" i="12"/>
  <c r="C356" i="12"/>
  <c r="C355" i="12"/>
  <c r="C354" i="12"/>
  <c r="B372" i="12"/>
  <c r="C371" i="12"/>
  <c r="C370" i="12"/>
  <c r="C369" i="12"/>
  <c r="C368" i="12"/>
  <c r="C367" i="12"/>
  <c r="B384" i="12"/>
  <c r="C383" i="12"/>
  <c r="C382" i="12"/>
  <c r="C381" i="12"/>
  <c r="C380" i="12"/>
  <c r="C365" i="12"/>
  <c r="C372" i="12"/>
  <c r="C360" i="12"/>
  <c r="C384" i="12"/>
  <c r="C353" i="12"/>
  <c r="C377" i="12"/>
  <c r="C364" i="12"/>
  <c r="C378" i="12"/>
  <c r="C379" i="12"/>
  <c r="C366" i="12"/>
  <c r="C376" i="12"/>
  <c r="C352" i="12"/>
  <c r="B312" i="10" l="1"/>
  <c r="C311" i="10"/>
  <c r="C310" i="10"/>
  <c r="C309" i="10"/>
  <c r="C308" i="10"/>
  <c r="C307" i="10"/>
  <c r="C306" i="10"/>
  <c r="B324" i="10"/>
  <c r="C323" i="10"/>
  <c r="C322" i="10"/>
  <c r="C321" i="10"/>
  <c r="C320" i="10"/>
  <c r="C319" i="10"/>
  <c r="C318" i="10"/>
  <c r="C317" i="10"/>
  <c r="B336" i="10"/>
  <c r="C335" i="10"/>
  <c r="C334" i="10"/>
  <c r="C333" i="10"/>
  <c r="C332" i="10"/>
  <c r="C331" i="10"/>
  <c r="B348" i="10"/>
  <c r="C347" i="10"/>
  <c r="C346" i="10"/>
  <c r="C345" i="10"/>
  <c r="C344" i="10"/>
  <c r="C343" i="10"/>
  <c r="C342" i="10"/>
  <c r="C341" i="10"/>
  <c r="B360" i="10"/>
  <c r="C359" i="10"/>
  <c r="C358" i="10"/>
  <c r="C357" i="10"/>
  <c r="C356" i="10"/>
  <c r="C355" i="10"/>
  <c r="B372" i="10"/>
  <c r="C371" i="10"/>
  <c r="C370" i="10"/>
  <c r="C369" i="10"/>
  <c r="C368" i="10"/>
  <c r="C367" i="10"/>
  <c r="C366" i="10"/>
  <c r="B384" i="10"/>
  <c r="C383" i="10"/>
  <c r="C382" i="10"/>
  <c r="C381" i="10"/>
  <c r="C380" i="10"/>
  <c r="C379" i="10"/>
  <c r="C378" i="10"/>
  <c r="C316" i="10"/>
  <c r="C329" i="10"/>
  <c r="C353" i="10"/>
  <c r="C312" i="10"/>
  <c r="C340" i="10"/>
  <c r="C354" i="10"/>
  <c r="C377" i="10"/>
  <c r="C336" i="10"/>
  <c r="C304" i="10"/>
  <c r="C376" i="10"/>
  <c r="C324" i="10"/>
  <c r="C348" i="10"/>
  <c r="C360" i="10"/>
  <c r="C305" i="10"/>
  <c r="C352" i="10"/>
  <c r="C330" i="10"/>
  <c r="C328" i="10"/>
  <c r="C384" i="10"/>
  <c r="C372" i="10"/>
  <c r="B396" i="12" l="1"/>
  <c r="C395" i="12"/>
  <c r="C394" i="12"/>
  <c r="C393" i="12"/>
  <c r="C392" i="12"/>
  <c r="C391" i="12"/>
  <c r="B408" i="12"/>
  <c r="C407" i="12"/>
  <c r="C406" i="12"/>
  <c r="C405" i="12"/>
  <c r="C404" i="12"/>
  <c r="C403" i="12"/>
  <c r="C402" i="12"/>
  <c r="C390" i="12"/>
  <c r="C400" i="12"/>
  <c r="C396" i="12"/>
  <c r="C408" i="12"/>
  <c r="C388" i="12"/>
  <c r="C401" i="12"/>
  <c r="C389" i="12"/>
  <c r="B420" i="12" l="1"/>
  <c r="C419" i="12"/>
  <c r="C418" i="12"/>
  <c r="C417" i="12"/>
  <c r="C416" i="12"/>
  <c r="C415" i="12"/>
  <c r="C414" i="12"/>
  <c r="C412" i="12"/>
  <c r="C413" i="12"/>
  <c r="C420" i="12"/>
  <c r="B432" i="12" l="1"/>
  <c r="C431" i="12"/>
  <c r="C430" i="12"/>
  <c r="C429" i="12"/>
  <c r="C428" i="12"/>
  <c r="C425" i="12"/>
  <c r="C432" i="12"/>
  <c r="C427" i="12"/>
  <c r="C426" i="12"/>
  <c r="C424" i="12"/>
  <c r="B396" i="10" l="1"/>
  <c r="C395" i="10"/>
  <c r="C394" i="10"/>
  <c r="C393" i="10"/>
  <c r="C392" i="10"/>
  <c r="C391" i="10"/>
  <c r="C390" i="10"/>
  <c r="B408" i="10"/>
  <c r="C407" i="10"/>
  <c r="C406" i="10"/>
  <c r="C405" i="10"/>
  <c r="C404" i="10"/>
  <c r="C403" i="10"/>
  <c r="C402" i="10"/>
  <c r="C401" i="10"/>
  <c r="B420" i="10"/>
  <c r="C419" i="10"/>
  <c r="C418" i="10"/>
  <c r="C417" i="10"/>
  <c r="C416" i="10"/>
  <c r="C415" i="10"/>
  <c r="B432" i="10"/>
  <c r="C431" i="10"/>
  <c r="C430" i="10"/>
  <c r="C429" i="10"/>
  <c r="C428" i="10"/>
  <c r="C413" i="10"/>
  <c r="C388" i="10"/>
  <c r="C408" i="10"/>
  <c r="C400" i="10"/>
  <c r="C412" i="10"/>
  <c r="C424" i="10"/>
  <c r="C425" i="10"/>
  <c r="C427" i="10"/>
  <c r="C420" i="10"/>
  <c r="C389" i="10"/>
  <c r="C396" i="10"/>
  <c r="C414" i="10"/>
  <c r="C426" i="10"/>
  <c r="C432" i="10"/>
  <c r="B444" i="12" l="1"/>
  <c r="C443" i="12"/>
  <c r="C442" i="12"/>
  <c r="C441" i="12"/>
  <c r="C440" i="12"/>
  <c r="C439" i="12"/>
  <c r="C438" i="12"/>
  <c r="B456" i="12"/>
  <c r="C455" i="12"/>
  <c r="C454" i="12"/>
  <c r="C453" i="12"/>
  <c r="B444" i="10"/>
  <c r="C443" i="10"/>
  <c r="C442" i="10"/>
  <c r="C441" i="10"/>
  <c r="C440" i="10"/>
  <c r="C439" i="10"/>
  <c r="C438" i="10"/>
  <c r="B456" i="10"/>
  <c r="C455" i="10"/>
  <c r="C454" i="10"/>
  <c r="C453" i="10"/>
  <c r="C436" i="12"/>
  <c r="C437" i="12"/>
  <c r="C452" i="12"/>
  <c r="C449" i="12"/>
  <c r="C450" i="12"/>
  <c r="C444" i="12"/>
  <c r="C456" i="12"/>
  <c r="C448" i="12"/>
  <c r="C451" i="12"/>
  <c r="C448" i="10"/>
  <c r="C451" i="10"/>
  <c r="C456" i="10"/>
  <c r="C450" i="10"/>
  <c r="C444" i="10"/>
  <c r="C449" i="10"/>
  <c r="C452"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<sst xmlns="http://schemas.openxmlformats.org/spreadsheetml/2006/main" count="1360" uniqueCount="227">
  <si>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</si>
  <si>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</si>
  <si>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</si>
  <si>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</si>
  <si>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</si>
  <si>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</si>
  <si>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</si>
  <si>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</si>
  <si>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</si>
  <si>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</si>
  <si>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</si>
  <si>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</si>
  <si>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</si>
  <si>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</si>
  <si>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</si>
  <si>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</si>
  <si>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</si>
  <si>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</si>
  <si>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</si>
  <si>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</si>
  <si>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</si>
  <si>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</si>
  <si>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</si>
  <si>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</si>
  <si>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</si>
  <si>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</si>
  <si>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</si>
  <si>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</si>
  <si>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</si>
  <si>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</si>
  <si>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</si>
  <si>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</si>
  <si>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</si>
  <si>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</si>
  <si>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</si>
  <si>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</si>
  <si>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</si>
  <si>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</si>
  <si>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</si>
  <si>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</si>
  <si>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</si>
  <si>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</si>
  <si>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</si>
  <si>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</si>
  <si>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</si>
  <si>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</si>
  <si>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</si>
  <si>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</si>
  <si>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</si>
  <si>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</si>
  <si>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</si>
  <si>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</si>
  <si>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</si>
  <si>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</si>
  <si>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</si>
  <si>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</si>
  <si>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</si>
  <si>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</si>
  <si>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</si>
  <si>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</si>
  <si>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</si>
  <si>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</si>
  <si>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</si>
  <si>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</si>
  <si>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</si>
  <si>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</si>
  <si>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</si>
  <si>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</si>
  <si>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</si>
  <si>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</si>
  <si>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</si>
  <si>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</si>
  <si>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</si>
  <si>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</si>
  <si>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</si>
  <si>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</si>
  <si>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</si>
  <si>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</si>
  <si>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</si>
  <si>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</si>
  <si>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</si>
  <si>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</si>
  <si>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</si>
  <si>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</si>
  <si>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</si>
  <si>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</si>
  <si>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</si>
  <si>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</si>
  <si>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</si>
  <si>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</si>
  <si>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</si>
  <si>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</si>
  <si>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</si>
  <si>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</si>
  <si>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</si>
  <si>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</si>
  <si>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</si>
  <si>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</si>
  <si>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</si>
  <si>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</si>
  <si>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</si>
  <si>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</si>
  <si>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</si>
  <si>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</si>
  <si>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</si>
  <si>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</si>
  <si>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</si>
  <si>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</si>
  <si>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</si>
  <si>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</si>
  <si>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</si>
  <si>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</si>
  <si>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</si>
  <si>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</si>
  <si>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</si>
  <si>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</si>
  <si>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</si>
  <si>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</si>
  <si>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</si>
  <si>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</si>
  <si>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</si>
  <si>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</si>
  <si>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</si>
  <si>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</si>
  <si>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</si>
  <si>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</si>
  <si>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</si>
  <si>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</si>
  <si>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</si>
  <si>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</si>
  <si>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</si>
  <si>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</si>
  <si>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</si>
  <si>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</si>
  <si>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</si>
  <si>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</si>
  <si>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</si>
  <si>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</si>
  <si>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</si>
  <si>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</si>
  <si>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</si>
  <si>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</si>
  <si>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</si>
  <si>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</si>
  <si>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</si>
  <si>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</si>
  <si>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</si>
  <si>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</si>
  <si>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</si>
  <si>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</si>
  <si>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</si>
  <si>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</si>
  <si>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</si>
  <si>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</si>
  <si>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</si>
  <si>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</si>
  <si>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</si>
  <si>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</si>
  <si>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</si>
  <si>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</si>
  <si>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</si>
  <si>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</si>
  <si>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</si>
  <si>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</si>
  <si>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</si>
  <si>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</si>
  <si>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</si>
  <si>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</si>
  <si>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</si>
  <si>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</si>
  <si>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</si>
  <si>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</si>
  <si>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</si>
  <si>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</si>
  <si>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</si>
  <si>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</si>
  <si>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</si>
  <si>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</si>
  <si>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</si>
  <si>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</si>
  <si>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</si>
  <si>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</si>
  <si>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</si>
  <si>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</si>
  <si>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</si>
  <si>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</si>
  <si>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</si>
  <si>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</si>
  <si>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</si>
  <si>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</si>
  <si>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</si>
  <si>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</si>
  <si>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</si>
  <si>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</si>
  <si>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</si>
  <si>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</si>
  <si>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</si>
  <si>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</si>
  <si>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</si>
  <si>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</si>
  <si>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</si>
  <si>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</si>
  <si>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</si>
  <si>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</si>
  <si>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</si>
  <si>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</si>
  <si>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</si>
  <si>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</si>
  <si>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</si>
  <si>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</si>
  <si>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</si>
  <si>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</si>
  <si>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</si>
  <si>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</si>
  <si>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</si>
  <si>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</si>
  <si>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</si>
  <si>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</si>
  <si>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</si>
  <si>
    <t>Continuer de régler les problèmes liés à la sécurité et vérifications des données envoyées à partir des différents formulaires du site</t>
  </si>
  <si>
    <t>Continuer à remplir le rapport</t>
  </si>
  <si>
    <t>J'ai continuer d'ajouter les vérifications de données, connexion, permissions là ou il y'en avait pas</t>
  </si>
  <si>
    <t>Ecriture du dictionnaire des données</t>
  </si>
  <si>
    <t>J'ai continuer à écrire les conceptions des tests et le dossier des tests</t>
  </si>
  <si>
    <t>Suite du rapport</t>
  </si>
  <si>
    <t>Améliorer un peu le design du site, enlever les var_dump() etc…</t>
  </si>
  <si>
    <t>Continuer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</si>
</sst>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7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0" zoomScale="55" zoomScaleNormal="55" zoomScaleSheetLayoutView="10" zoomScalePageLayoutView="10" workbookViewId="0">
      <selection activeCell="C53" sqref="C53:C5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App- Bug Testing</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Code - Commentaires</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t="s">
        <v>208</v>
      </c>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t="s">
        <v>209</v>
      </c>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57"/>
  <sheetViews>
    <sheetView showGridLines="0" tabSelected="1" zoomScaleNormal="100" zoomScaleSheetLayoutView="98" workbookViewId="0">
      <pane ySplit="1" topLeftCell="A2" activePane="bottomLeft" state="frozen"/>
      <selection activeCell="BC13" sqref="BC13"/>
      <selection pane="bottomLeft" activeCell="D10" sqref="D10"/>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38</v>
      </c>
      <c r="C2" s="162"/>
      <c r="D2" s="81" t="s">
        <v>14</v>
      </c>
      <c r="E2" s="93">
        <v>44266</v>
      </c>
      <c r="F2" s="125" t="s">
        <v>75</v>
      </c>
      <c r="G2" s="45"/>
    </row>
    <row r="3" spans="1:7" s="46" customFormat="1" ht="30" customHeight="1" thickBot="1">
      <c r="A3" s="79" t="s">
        <v>4</v>
      </c>
      <c r="B3" s="149" t="s">
        <v>38</v>
      </c>
      <c r="C3" s="150"/>
      <c r="D3" s="79" t="s">
        <v>12</v>
      </c>
      <c r="E3" s="237" t="s">
        <v>13</v>
      </c>
      <c r="F3" s="238"/>
      <c r="G3" s="45"/>
    </row>
    <row r="4" spans="1:7" s="51" customFormat="1">
      <c r="A4" s="47" t="s">
        <v>66</v>
      </c>
      <c r="B4" s="48">
        <v>15</v>
      </c>
      <c r="C4" s="151" t="str">
        <f xml:space="preserve"> IF(B4="","",setValueToTime(B4))</f>
        <v>1h15min</v>
      </c>
      <c r="D4" s="165" t="s">
        <v>225</v>
      </c>
      <c r="E4" s="239"/>
      <c r="F4" s="240"/>
      <c r="G4" s="50"/>
    </row>
    <row r="5" spans="1:7" s="51" customFormat="1">
      <c r="A5" s="52" t="s">
        <v>50</v>
      </c>
      <c r="B5" s="53">
        <v>18</v>
      </c>
      <c r="C5" s="152" t="str">
        <f t="shared" ref="C5:C11" si="0" xml:space="preserve"> IF(B5="","",setValueToTime(B5))</f>
        <v>1h30min</v>
      </c>
      <c r="D5" s="166" t="s">
        <v>226</v>
      </c>
      <c r="E5" s="241"/>
      <c r="F5" s="242"/>
      <c r="G5" s="50"/>
    </row>
    <row r="6" spans="1:7" s="51" customFormat="1">
      <c r="A6" s="52" t="s">
        <v>15</v>
      </c>
      <c r="B6" s="53">
        <v>3</v>
      </c>
      <c r="C6" s="152" t="str">
        <f t="shared" si="0"/>
        <v>0h15min</v>
      </c>
      <c r="D6" s="166" t="s">
        <v>106</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37</v>
      </c>
      <c r="C14" s="162"/>
      <c r="D14" s="81" t="s">
        <v>14</v>
      </c>
      <c r="E14" s="93">
        <v>44266</v>
      </c>
      <c r="F14" s="125" t="s">
        <v>74</v>
      </c>
      <c r="G14" s="45"/>
    </row>
    <row r="15" spans="1:7" s="46" customFormat="1" ht="30" customHeight="1" thickBot="1">
      <c r="A15" s="79" t="s">
        <v>4</v>
      </c>
      <c r="B15" s="149" t="s">
        <v>38</v>
      </c>
      <c r="C15" s="150"/>
      <c r="D15" s="79" t="s">
        <v>12</v>
      </c>
      <c r="E15" s="237" t="s">
        <v>13</v>
      </c>
      <c r="F15" s="238"/>
      <c r="G15" s="45"/>
    </row>
    <row r="16" spans="1:7" s="51" customFormat="1">
      <c r="A16" s="47" t="s">
        <v>50</v>
      </c>
      <c r="B16" s="48">
        <v>42</v>
      </c>
      <c r="C16" s="151" t="str">
        <f xml:space="preserve"> IF(B16="","",setValueToTime(B16))</f>
        <v>3h30min</v>
      </c>
      <c r="D16" s="165" t="s">
        <v>224</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36</v>
      </c>
      <c r="C26" s="162"/>
      <c r="D26" s="81" t="s">
        <v>14</v>
      </c>
      <c r="E26" s="93">
        <v>44265</v>
      </c>
      <c r="F26" s="125" t="s">
        <v>75</v>
      </c>
      <c r="G26" s="45"/>
    </row>
    <row r="27" spans="1:7" s="46" customFormat="1" ht="30" customHeight="1" thickBot="1">
      <c r="A27" s="79" t="s">
        <v>4</v>
      </c>
      <c r="B27" s="149" t="s">
        <v>38</v>
      </c>
      <c r="C27" s="150"/>
      <c r="D27" s="79" t="s">
        <v>12</v>
      </c>
      <c r="E27" s="237" t="s">
        <v>13</v>
      </c>
      <c r="F27" s="238"/>
      <c r="G27" s="45"/>
    </row>
    <row r="28" spans="1:7" s="51" customFormat="1">
      <c r="A28" s="47" t="s">
        <v>50</v>
      </c>
      <c r="B28" s="48">
        <v>33</v>
      </c>
      <c r="C28" s="151" t="str">
        <f xml:space="preserve"> IF(B28="","",setValueToTime(B28))</f>
        <v>2h45min</v>
      </c>
      <c r="D28" s="165" t="s">
        <v>220</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35</v>
      </c>
      <c r="C38" s="162"/>
      <c r="D38" s="81" t="s">
        <v>14</v>
      </c>
      <c r="E38" s="93">
        <v>44265</v>
      </c>
      <c r="F38" s="125" t="s">
        <v>74</v>
      </c>
      <c r="G38" s="45"/>
    </row>
    <row r="39" spans="1:7" s="46" customFormat="1" ht="30" customHeight="1" thickBot="1">
      <c r="A39" s="79" t="s">
        <v>4</v>
      </c>
      <c r="B39" s="149" t="s">
        <v>38</v>
      </c>
      <c r="C39" s="150"/>
      <c r="D39" s="79" t="s">
        <v>12</v>
      </c>
      <c r="E39" s="237" t="s">
        <v>13</v>
      </c>
      <c r="F39" s="238"/>
      <c r="G39" s="45"/>
    </row>
    <row r="40" spans="1:7" s="51" customFormat="1">
      <c r="A40" s="47" t="s">
        <v>208</v>
      </c>
      <c r="B40" s="48">
        <v>18</v>
      </c>
      <c r="C40" s="151" t="str">
        <f xml:space="preserve"> IF(B40="","",setValueToTime(B40))</f>
        <v>1h30min</v>
      </c>
      <c r="D40" s="165" t="s">
        <v>213</v>
      </c>
      <c r="E40" s="239"/>
      <c r="F40" s="240"/>
      <c r="G40" s="50"/>
    </row>
    <row r="41" spans="1:7" s="51" customFormat="1">
      <c r="A41" s="52" t="s">
        <v>209</v>
      </c>
      <c r="B41" s="53">
        <v>18</v>
      </c>
      <c r="C41" s="152" t="str">
        <f t="shared" ref="C41:C47" si="3" xml:space="preserve"> IF(B41="","",setValueToTime(B41))</f>
        <v>1h30min</v>
      </c>
      <c r="D41" s="166" t="s">
        <v>214</v>
      </c>
      <c r="E41" s="241"/>
      <c r="F41" s="242"/>
      <c r="G41" s="50"/>
    </row>
    <row r="42" spans="1:7" s="51" customFormat="1">
      <c r="A42" s="52" t="s">
        <v>50</v>
      </c>
      <c r="B42" s="53">
        <v>9</v>
      </c>
      <c r="C42" s="152" t="str">
        <f t="shared" si="3"/>
        <v>0h45min</v>
      </c>
      <c r="D42" s="166" t="s">
        <v>205</v>
      </c>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34</v>
      </c>
      <c r="C50" s="162"/>
      <c r="D50" s="81" t="s">
        <v>14</v>
      </c>
      <c r="E50" s="93">
        <v>44263</v>
      </c>
      <c r="F50" s="125" t="s">
        <v>74</v>
      </c>
      <c r="G50" s="45"/>
    </row>
    <row r="51" spans="1:7" s="46" customFormat="1" ht="30" customHeight="1" thickBot="1">
      <c r="A51" s="79" t="s">
        <v>4</v>
      </c>
      <c r="B51" s="149" t="s">
        <v>38</v>
      </c>
      <c r="C51" s="150"/>
      <c r="D51" s="79" t="s">
        <v>12</v>
      </c>
      <c r="E51" s="237" t="s">
        <v>13</v>
      </c>
      <c r="F51" s="238"/>
      <c r="G51" s="45"/>
    </row>
    <row r="52" spans="1:7" s="51" customFormat="1">
      <c r="A52" s="47" t="s">
        <v>208</v>
      </c>
      <c r="B52" s="48">
        <v>33</v>
      </c>
      <c r="C52" s="151" t="str">
        <f xml:space="preserve"> IF(B52="","",setValueToTime(B52))</f>
        <v>2h45min</v>
      </c>
      <c r="D52" s="165" t="s">
        <v>212</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33</v>
      </c>
      <c r="C62" s="162"/>
      <c r="D62" s="81" t="s">
        <v>14</v>
      </c>
      <c r="E62" s="93">
        <v>44260</v>
      </c>
      <c r="F62" s="125" t="s">
        <v>75</v>
      </c>
      <c r="G62" s="45"/>
    </row>
    <row r="63" spans="1:7" s="46" customFormat="1" ht="30" customHeight="1" thickBot="1">
      <c r="A63" s="79" t="s">
        <v>4</v>
      </c>
      <c r="B63" s="149" t="s">
        <v>38</v>
      </c>
      <c r="C63" s="150"/>
      <c r="D63" s="79" t="s">
        <v>12</v>
      </c>
      <c r="E63" s="237" t="s">
        <v>13</v>
      </c>
      <c r="F63" s="238"/>
      <c r="G63" s="45"/>
    </row>
    <row r="64" spans="1:7" s="51" customFormat="1">
      <c r="A64" s="47" t="s">
        <v>50</v>
      </c>
      <c r="B64" s="48">
        <v>33</v>
      </c>
      <c r="C64" s="151" t="str">
        <f xml:space="preserve"> IF(B64="","",setValueToTime(B64))</f>
        <v>2h45min</v>
      </c>
      <c r="D64" s="165" t="s">
        <v>205</v>
      </c>
      <c r="E64" s="239"/>
      <c r="F64" s="240"/>
      <c r="G64" s="50"/>
    </row>
    <row r="65" spans="1:7" s="51" customFormat="1">
      <c r="A65" s="52" t="s">
        <v>15</v>
      </c>
      <c r="B65" s="53">
        <v>3</v>
      </c>
      <c r="C65" s="152" t="str">
        <f t="shared" ref="C65:C71" si="5" xml:space="preserve"> IF(B65="","",setValueToTime(B65))</f>
        <v>0h15min</v>
      </c>
      <c r="D65" s="166" t="s">
        <v>151</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36</v>
      </c>
      <c r="C72" s="110" t="str">
        <f xml:space="preserve"> setValueToTime(B72)</f>
        <v>3h</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32</v>
      </c>
      <c r="C74" s="162"/>
      <c r="D74" s="81" t="s">
        <v>14</v>
      </c>
      <c r="E74" s="93">
        <v>44260</v>
      </c>
      <c r="F74" s="125" t="s">
        <v>74</v>
      </c>
      <c r="G74" s="45"/>
    </row>
    <row r="75" spans="1:7" s="46" customFormat="1" ht="30" customHeight="1" thickBot="1">
      <c r="A75" s="79" t="s">
        <v>4</v>
      </c>
      <c r="B75" s="149" t="s">
        <v>38</v>
      </c>
      <c r="C75" s="150"/>
      <c r="D75" s="79" t="s">
        <v>12</v>
      </c>
      <c r="E75" s="237" t="s">
        <v>13</v>
      </c>
      <c r="F75" s="238"/>
      <c r="G75" s="45"/>
    </row>
    <row r="76" spans="1:7" s="51" customFormat="1">
      <c r="A76" s="47" t="s">
        <v>50</v>
      </c>
      <c r="B76" s="48">
        <v>33</v>
      </c>
      <c r="C76" s="151" t="str">
        <f xml:space="preserve"> IF(B76="","",setValueToTime(B76))</f>
        <v>2h45min</v>
      </c>
      <c r="D76" s="165" t="s">
        <v>204</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31</v>
      </c>
      <c r="C86" s="162"/>
      <c r="D86" s="81" t="s">
        <v>14</v>
      </c>
      <c r="E86" s="93">
        <v>44259</v>
      </c>
      <c r="F86" s="125" t="s">
        <v>75</v>
      </c>
      <c r="G86" s="45"/>
    </row>
    <row r="87" spans="1:7" s="46" customFormat="1" ht="30" customHeight="1" thickBot="1">
      <c r="A87" s="79" t="s">
        <v>4</v>
      </c>
      <c r="B87" s="149" t="s">
        <v>38</v>
      </c>
      <c r="C87" s="150"/>
      <c r="D87" s="79" t="s">
        <v>12</v>
      </c>
      <c r="E87" s="237" t="s">
        <v>13</v>
      </c>
      <c r="F87" s="238"/>
      <c r="G87" s="45"/>
    </row>
    <row r="88" spans="1:7" s="51" customFormat="1">
      <c r="A88" s="47" t="s">
        <v>50</v>
      </c>
      <c r="B88" s="48">
        <v>33</v>
      </c>
      <c r="C88" s="151" t="str">
        <f xml:space="preserve"> IF(B88="","",setValueToTime(B88))</f>
        <v>2h45min</v>
      </c>
      <c r="D88" s="165" t="s">
        <v>198</v>
      </c>
      <c r="E88" s="239"/>
      <c r="F88" s="240"/>
      <c r="G88" s="50"/>
    </row>
    <row r="89" spans="1:7" s="51" customFormat="1">
      <c r="A89" s="52" t="s">
        <v>15</v>
      </c>
      <c r="B89" s="53">
        <v>3</v>
      </c>
      <c r="C89" s="152" t="str">
        <f xml:space="preserve"> IF(B89="","",setValueToTime(B89))</f>
        <v>0h15min</v>
      </c>
      <c r="D89" s="166" t="s">
        <v>106</v>
      </c>
      <c r="E89" s="241"/>
      <c r="F89" s="242"/>
      <c r="G89" s="50"/>
    </row>
    <row r="90" spans="1:7" s="51" customFormat="1">
      <c r="A90" s="52"/>
      <c r="B90" s="53"/>
      <c r="C90" s="152" t="str">
        <f t="shared" ref="C90:C95" si="7" xml:space="preserve"> IF(B90="","",setValueToTime(B90))</f>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30</v>
      </c>
      <c r="C98" s="162"/>
      <c r="D98" s="81" t="s">
        <v>14</v>
      </c>
      <c r="E98" s="93">
        <v>44259</v>
      </c>
      <c r="F98" s="125" t="s">
        <v>74</v>
      </c>
      <c r="G98" s="45"/>
    </row>
    <row r="99" spans="1:7" s="46" customFormat="1" ht="30" customHeight="1" thickBot="1">
      <c r="A99" s="79" t="s">
        <v>4</v>
      </c>
      <c r="B99" s="149" t="s">
        <v>38</v>
      </c>
      <c r="C99" s="150"/>
      <c r="D99" s="79" t="s">
        <v>12</v>
      </c>
      <c r="E99" s="237" t="s">
        <v>13</v>
      </c>
      <c r="F99" s="238"/>
      <c r="G99" s="45"/>
    </row>
    <row r="100" spans="1:7" s="51" customFormat="1">
      <c r="A100" s="47" t="s">
        <v>66</v>
      </c>
      <c r="B100" s="48">
        <v>42</v>
      </c>
      <c r="C100" s="151" t="str">
        <f xml:space="preserve"> IF(B100="","",setValueToTime(B100))</f>
        <v>3h30min</v>
      </c>
      <c r="D100" s="165" t="s">
        <v>197</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45</v>
      </c>
      <c r="C108" s="110" t="str">
        <f xml:space="preserve"> setValueToTime(B108)</f>
        <v>3h45min</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29</v>
      </c>
      <c r="C110" s="162"/>
      <c r="D110" s="81" t="s">
        <v>14</v>
      </c>
      <c r="E110" s="93">
        <v>44258</v>
      </c>
      <c r="F110" s="125" t="s">
        <v>75</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33</v>
      </c>
      <c r="C112" s="151" t="str">
        <f xml:space="preserve"> IF(B112="","",setValueToTime(B112))</f>
        <v>2h45min</v>
      </c>
      <c r="D112" s="165" t="s">
        <v>189</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28</v>
      </c>
      <c r="C122" s="162"/>
      <c r="D122" s="81" t="s">
        <v>14</v>
      </c>
      <c r="E122" s="93">
        <v>44258</v>
      </c>
      <c r="F122" s="125" t="s">
        <v>74</v>
      </c>
      <c r="G122" s="45"/>
    </row>
    <row r="123" spans="1:7" s="46" customFormat="1" ht="30" customHeight="1" thickBot="1">
      <c r="A123" s="79" t="s">
        <v>4</v>
      </c>
      <c r="B123" s="149" t="s">
        <v>38</v>
      </c>
      <c r="C123" s="150"/>
      <c r="D123" s="79" t="s">
        <v>12</v>
      </c>
      <c r="E123" s="237" t="s">
        <v>13</v>
      </c>
      <c r="F123" s="238"/>
      <c r="G123" s="45"/>
    </row>
    <row r="124" spans="1:7" s="51" customFormat="1">
      <c r="A124" s="47" t="s">
        <v>63</v>
      </c>
      <c r="B124" s="48">
        <v>42</v>
      </c>
      <c r="C124" s="151" t="str">
        <f xml:space="preserve"> IF(B124="","",setValueToTime(B124))</f>
        <v>3h30min</v>
      </c>
      <c r="D124" s="165" t="s">
        <v>188</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27</v>
      </c>
      <c r="C134" s="162"/>
      <c r="D134" s="81" t="s">
        <v>14</v>
      </c>
      <c r="E134" s="93">
        <v>44256</v>
      </c>
      <c r="F134" s="125" t="s">
        <v>74</v>
      </c>
      <c r="G134" s="45"/>
    </row>
    <row r="135" spans="1:7" s="46" customFormat="1" ht="30" customHeight="1" thickBot="1">
      <c r="A135" s="79" t="s">
        <v>4</v>
      </c>
      <c r="B135" s="149" t="s">
        <v>38</v>
      </c>
      <c r="C135" s="150"/>
      <c r="D135" s="79" t="s">
        <v>12</v>
      </c>
      <c r="E135" s="237" t="s">
        <v>13</v>
      </c>
      <c r="F135" s="238"/>
      <c r="G135" s="45"/>
    </row>
    <row r="136" spans="1:7" s="51" customFormat="1">
      <c r="A136" s="47" t="s">
        <v>63</v>
      </c>
      <c r="B136" s="48">
        <v>33</v>
      </c>
      <c r="C136" s="151" t="str">
        <f xml:space="preserve"> IF(B136="","",setValueToTime(B136))</f>
        <v>2h45min</v>
      </c>
      <c r="D136" s="165" t="s">
        <v>187</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26</v>
      </c>
      <c r="C146" s="162"/>
      <c r="D146" s="81" t="s">
        <v>14</v>
      </c>
      <c r="E146" s="93">
        <v>44246</v>
      </c>
      <c r="F146" s="125" t="s">
        <v>75</v>
      </c>
      <c r="G146" s="45"/>
    </row>
    <row r="147" spans="1:7" s="46" customFormat="1" ht="30" customHeight="1" thickBot="1">
      <c r="A147" s="79" t="s">
        <v>4</v>
      </c>
      <c r="B147" s="149" t="s">
        <v>38</v>
      </c>
      <c r="C147" s="150"/>
      <c r="D147" s="79" t="s">
        <v>12</v>
      </c>
      <c r="E147" s="237" t="s">
        <v>13</v>
      </c>
      <c r="F147" s="238"/>
      <c r="G147" s="45"/>
    </row>
    <row r="148" spans="1:7" s="51" customFormat="1">
      <c r="A148" s="47" t="s">
        <v>66</v>
      </c>
      <c r="B148" s="48">
        <v>33</v>
      </c>
      <c r="C148" s="151" t="str">
        <f xml:space="preserve"> IF(B148="","",setValueToTime(B148))</f>
        <v>2h45min</v>
      </c>
      <c r="D148" s="165" t="s">
        <v>176</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25</v>
      </c>
      <c r="C158" s="162"/>
      <c r="D158" s="81" t="s">
        <v>14</v>
      </c>
      <c r="E158" s="93">
        <v>44246</v>
      </c>
      <c r="F158" s="125" t="s">
        <v>74</v>
      </c>
      <c r="G158" s="45"/>
    </row>
    <row r="159" spans="1:7" s="46" customFormat="1" ht="30" customHeight="1" thickBot="1">
      <c r="A159" s="79" t="s">
        <v>4</v>
      </c>
      <c r="B159" s="149" t="s">
        <v>38</v>
      </c>
      <c r="C159" s="150"/>
      <c r="D159" s="79" t="s">
        <v>12</v>
      </c>
      <c r="E159" s="237" t="s">
        <v>13</v>
      </c>
      <c r="F159" s="238"/>
      <c r="G159" s="45"/>
    </row>
    <row r="160" spans="1:7" s="51" customFormat="1" ht="27">
      <c r="A160" s="47" t="s">
        <v>117</v>
      </c>
      <c r="B160" s="48">
        <v>33</v>
      </c>
      <c r="C160" s="151" t="str">
        <f xml:space="preserve"> IF(B160="","",setValueToTime(B160))</f>
        <v>2h45min</v>
      </c>
      <c r="D160" s="165" t="s">
        <v>175</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24</v>
      </c>
      <c r="C170" s="162"/>
      <c r="D170" s="81" t="s">
        <v>14</v>
      </c>
      <c r="E170" s="93">
        <v>44245</v>
      </c>
      <c r="F170" s="125" t="s">
        <v>75</v>
      </c>
      <c r="G170" s="45"/>
    </row>
    <row r="171" spans="1:7" s="46" customFormat="1" ht="30" customHeight="1" thickBot="1">
      <c r="A171" s="79" t="s">
        <v>4</v>
      </c>
      <c r="B171" s="149" t="s">
        <v>38</v>
      </c>
      <c r="C171" s="150"/>
      <c r="D171" s="79" t="s">
        <v>12</v>
      </c>
      <c r="E171" s="237" t="s">
        <v>13</v>
      </c>
      <c r="F171" s="238"/>
      <c r="G171" s="45"/>
    </row>
    <row r="172" spans="1:7" s="51" customFormat="1">
      <c r="A172" s="47" t="s">
        <v>117</v>
      </c>
      <c r="B172" s="48">
        <v>33</v>
      </c>
      <c r="C172" s="151" t="str">
        <f xml:space="preserve"> IF(B172="","",setValueToTime(B172))</f>
        <v>2h45min</v>
      </c>
      <c r="D172" s="165" t="s">
        <v>174</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23</v>
      </c>
      <c r="C182" s="162"/>
      <c r="D182" s="81" t="s">
        <v>14</v>
      </c>
      <c r="E182" s="93">
        <v>44245</v>
      </c>
      <c r="F182" s="125" t="s">
        <v>74</v>
      </c>
      <c r="G182" s="45"/>
    </row>
    <row r="183" spans="1:7" s="46" customFormat="1" ht="30" customHeight="1" thickBot="1">
      <c r="A183" s="79" t="s">
        <v>4</v>
      </c>
      <c r="B183" s="149" t="s">
        <v>38</v>
      </c>
      <c r="C183" s="150"/>
      <c r="D183" s="79" t="s">
        <v>12</v>
      </c>
      <c r="E183" s="237" t="s">
        <v>13</v>
      </c>
      <c r="F183" s="238"/>
      <c r="G183" s="45"/>
    </row>
    <row r="184" spans="1:7" s="51" customFormat="1">
      <c r="A184" s="47" t="s">
        <v>117</v>
      </c>
      <c r="B184" s="48">
        <v>42</v>
      </c>
      <c r="C184" s="151" t="str">
        <f xml:space="preserve"> IF(B184="","",setValueToTime(B184))</f>
        <v>3h30min</v>
      </c>
      <c r="D184" s="165" t="s">
        <v>173</v>
      </c>
      <c r="E184" s="239"/>
      <c r="F184" s="240"/>
      <c r="G184" s="50"/>
    </row>
    <row r="185" spans="1:7" s="51" customFormat="1">
      <c r="A185" s="52" t="s">
        <v>15</v>
      </c>
      <c r="B185" s="53">
        <v>3</v>
      </c>
      <c r="C185" s="152" t="str">
        <f t="shared" ref="C185:C191" si="15" xml:space="preserve"> IF(B185="","",setValueToTime(B185))</f>
        <v>0h15min</v>
      </c>
      <c r="D185" s="166" t="s">
        <v>151</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45</v>
      </c>
      <c r="C192" s="110" t="str">
        <f xml:space="preserve"> setValueToTime(B192)</f>
        <v>3h45min</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22</v>
      </c>
      <c r="C194" s="162"/>
      <c r="D194" s="81" t="s">
        <v>14</v>
      </c>
      <c r="E194" s="93">
        <v>44244</v>
      </c>
      <c r="F194" s="125" t="s">
        <v>75</v>
      </c>
      <c r="G194" s="45"/>
    </row>
    <row r="195" spans="1:7" s="46" customFormat="1" ht="30" customHeight="1" thickBot="1">
      <c r="A195" s="79" t="s">
        <v>4</v>
      </c>
      <c r="B195" s="149" t="s">
        <v>38</v>
      </c>
      <c r="C195" s="150"/>
      <c r="D195" s="79" t="s">
        <v>12</v>
      </c>
      <c r="E195" s="237" t="s">
        <v>13</v>
      </c>
      <c r="F195" s="238"/>
      <c r="G195" s="45"/>
    </row>
    <row r="196" spans="1:7" s="51" customFormat="1">
      <c r="A196" s="47" t="s">
        <v>50</v>
      </c>
      <c r="B196" s="48">
        <v>18</v>
      </c>
      <c r="C196" s="151" t="str">
        <f xml:space="preserve"> IF(B196="","",setValueToTime(B196))</f>
        <v>1h30min</v>
      </c>
      <c r="D196" s="165" t="s">
        <v>170</v>
      </c>
      <c r="E196" s="239"/>
      <c r="F196" s="240"/>
      <c r="G196" s="50"/>
    </row>
    <row r="197" spans="1:7" s="51" customFormat="1">
      <c r="A197" s="52" t="s">
        <v>117</v>
      </c>
      <c r="B197" s="53">
        <v>15</v>
      </c>
      <c r="C197" s="152" t="str">
        <f t="shared" ref="C197:C203" si="16" xml:space="preserve"> IF(B197="","",setValueToTime(B197))</f>
        <v>1h15min</v>
      </c>
      <c r="D197" s="166" t="s">
        <v>171</v>
      </c>
      <c r="E197" s="241"/>
      <c r="F197" s="242"/>
      <c r="G197" s="50"/>
    </row>
    <row r="198" spans="1:7" s="51" customFormat="1">
      <c r="A198" s="52" t="s">
        <v>15</v>
      </c>
      <c r="B198" s="53">
        <v>3</v>
      </c>
      <c r="C198" s="152" t="str">
        <f t="shared" si="16"/>
        <v>0h15min</v>
      </c>
      <c r="D198" s="166" t="s">
        <v>106</v>
      </c>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21</v>
      </c>
      <c r="C206" s="162"/>
      <c r="D206" s="81" t="s">
        <v>14</v>
      </c>
      <c r="E206" s="93">
        <v>44244</v>
      </c>
      <c r="F206" s="125" t="s">
        <v>74</v>
      </c>
      <c r="G206" s="45"/>
    </row>
    <row r="207" spans="1:7" s="46" customFormat="1" ht="30" customHeight="1" thickBot="1">
      <c r="A207" s="79" t="s">
        <v>4</v>
      </c>
      <c r="B207" s="149" t="s">
        <v>38</v>
      </c>
      <c r="C207" s="150"/>
      <c r="D207" s="79" t="s">
        <v>12</v>
      </c>
      <c r="E207" s="237" t="s">
        <v>13</v>
      </c>
      <c r="F207" s="238"/>
      <c r="G207" s="45"/>
    </row>
    <row r="208" spans="1:7" s="51" customFormat="1">
      <c r="A208" s="47" t="s">
        <v>165</v>
      </c>
      <c r="B208" s="48">
        <v>42</v>
      </c>
      <c r="C208" s="151" t="str">
        <f xml:space="preserve"> IF(B208="","",setValueToTime(B208))</f>
        <v>3h30min</v>
      </c>
      <c r="D208" s="165" t="s">
        <v>169</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45</v>
      </c>
      <c r="C216" s="110" t="str">
        <f xml:space="preserve"> setValueToTime(B216)</f>
        <v>3h45min</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20</v>
      </c>
      <c r="C218" s="162"/>
      <c r="D218" s="81" t="s">
        <v>14</v>
      </c>
      <c r="E218" s="93">
        <v>44239</v>
      </c>
      <c r="F218" s="125" t="s">
        <v>75</v>
      </c>
      <c r="G218" s="45"/>
    </row>
    <row r="219" spans="1:7" s="46" customFormat="1" ht="30" customHeight="1" thickBot="1">
      <c r="A219" s="79" t="s">
        <v>4</v>
      </c>
      <c r="B219" s="149" t="s">
        <v>38</v>
      </c>
      <c r="C219" s="150"/>
      <c r="D219" s="79" t="s">
        <v>12</v>
      </c>
      <c r="E219" s="237" t="s">
        <v>13</v>
      </c>
      <c r="F219" s="238"/>
      <c r="G219" s="45"/>
    </row>
    <row r="220" spans="1:7" s="51" customFormat="1" ht="27">
      <c r="A220" s="47" t="s">
        <v>165</v>
      </c>
      <c r="B220" s="48">
        <v>34</v>
      </c>
      <c r="C220" s="151" t="str">
        <f xml:space="preserve"> IF(B220="","",setValueToTime(B220))</f>
        <v>2h50min</v>
      </c>
      <c r="D220" s="165" t="s">
        <v>166</v>
      </c>
      <c r="E220" s="239"/>
      <c r="F220" s="240"/>
      <c r="G220" s="50"/>
    </row>
    <row r="221" spans="1:7" s="51" customFormat="1">
      <c r="A221" s="52" t="s">
        <v>15</v>
      </c>
      <c r="B221" s="53">
        <v>2</v>
      </c>
      <c r="C221" s="152" t="str">
        <f t="shared" ref="C221:C227" si="18" xml:space="preserve"> IF(B221="","",setValueToTime(B221))</f>
        <v>0h10min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19</v>
      </c>
      <c r="C230" s="162"/>
      <c r="D230" s="81" t="s">
        <v>14</v>
      </c>
      <c r="E230" s="93">
        <v>44239</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50</v>
      </c>
      <c r="B232" s="48">
        <v>33</v>
      </c>
      <c r="C232" s="151" t="str">
        <f xml:space="preserve"> IF(B232="","",setValueToTime(B232))</f>
        <v>2h45min</v>
      </c>
      <c r="D232" s="165" t="s">
        <v>164</v>
      </c>
      <c r="E232" s="239"/>
      <c r="F232" s="240"/>
      <c r="G232" s="50"/>
    </row>
    <row r="233" spans="1:7" s="51" customFormat="1">
      <c r="A233" s="52" t="s">
        <v>15</v>
      </c>
      <c r="B233" s="53">
        <v>3</v>
      </c>
      <c r="C233" s="152" t="str">
        <f t="shared" ref="C233:C239" si="19" xml:space="preserve"> IF(B233="","",setValueToTime(B233))</f>
        <v>0h15min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18</v>
      </c>
      <c r="C242" s="162"/>
      <c r="D242" s="81" t="s">
        <v>14</v>
      </c>
      <c r="E242" s="93">
        <v>44238</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50</v>
      </c>
      <c r="B244" s="48">
        <v>33</v>
      </c>
      <c r="C244" s="151" t="str">
        <f xml:space="preserve"> IF(B244="","",setValueToTime(B244))</f>
        <v>2h45min</v>
      </c>
      <c r="D244" s="165" t="s">
        <v>161</v>
      </c>
      <c r="E244" s="239"/>
      <c r="F244" s="240"/>
      <c r="G244" s="50"/>
    </row>
    <row r="245" spans="1:7" s="51" customFormat="1">
      <c r="A245" s="52" t="s">
        <v>15</v>
      </c>
      <c r="B245" s="53">
        <v>3</v>
      </c>
      <c r="C245" s="152" t="str">
        <f t="shared" ref="C245:C251" si="20" xml:space="preserve"> IF(B245="","",setValueToTime(B245))</f>
        <v>0h15min</v>
      </c>
      <c r="D245" s="166" t="s">
        <v>151</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17</v>
      </c>
      <c r="C254" s="162"/>
      <c r="D254" s="81" t="s">
        <v>14</v>
      </c>
      <c r="E254" s="93">
        <v>44238</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50</v>
      </c>
      <c r="B256" s="48">
        <v>43</v>
      </c>
      <c r="C256" s="151" t="str">
        <f xml:space="preserve"> IF(B256="","",setValueToTime(B256))</f>
        <v>3h35min</v>
      </c>
      <c r="D256" s="165" t="s">
        <v>160</v>
      </c>
      <c r="E256" s="239"/>
      <c r="F256" s="240"/>
      <c r="G256" s="50"/>
    </row>
    <row r="257" spans="1:7" s="51" customFormat="1">
      <c r="A257" s="52" t="s">
        <v>15</v>
      </c>
      <c r="B257" s="53">
        <v>2</v>
      </c>
      <c r="C257" s="152" t="str">
        <f t="shared" ref="C257:C263" si="21" xml:space="preserve"> IF(B257="","",setValueToTime(B257))</f>
        <v>0h10min</v>
      </c>
      <c r="D257" s="166" t="s">
        <v>151</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45</v>
      </c>
      <c r="C264" s="110" t="str">
        <f xml:space="preserve"> setValueToTime(B264)</f>
        <v>3h45min</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16</v>
      </c>
      <c r="C266" s="162"/>
      <c r="D266" s="81" t="s">
        <v>14</v>
      </c>
      <c r="E266" s="93">
        <v>44237</v>
      </c>
      <c r="F266" s="125" t="s">
        <v>75</v>
      </c>
      <c r="G266" s="45"/>
    </row>
    <row r="267" spans="1:7" s="46" customFormat="1" ht="30" customHeight="1" thickBot="1">
      <c r="A267" s="79" t="s">
        <v>4</v>
      </c>
      <c r="B267" s="149" t="s">
        <v>38</v>
      </c>
      <c r="C267" s="150"/>
      <c r="D267" s="79" t="s">
        <v>12</v>
      </c>
      <c r="E267" s="237" t="s">
        <v>13</v>
      </c>
      <c r="F267" s="238"/>
      <c r="G267" s="45"/>
    </row>
    <row r="268" spans="1:7" s="51" customFormat="1">
      <c r="A268" s="47" t="s">
        <v>60</v>
      </c>
      <c r="B268" s="48">
        <v>33</v>
      </c>
      <c r="C268" s="151" t="str">
        <f xml:space="preserve"> IF(B268="","",setValueToTime(B268))</f>
        <v>2h45min</v>
      </c>
      <c r="D268" s="165" t="s">
        <v>144</v>
      </c>
      <c r="E268" s="239"/>
      <c r="F268" s="240"/>
      <c r="G268" s="50"/>
    </row>
    <row r="269" spans="1:7" s="51" customFormat="1">
      <c r="A269" s="52" t="s">
        <v>15</v>
      </c>
      <c r="B269" s="53">
        <v>3</v>
      </c>
      <c r="C269" s="152" t="str">
        <f t="shared" ref="C269:C275" si="22" xml:space="preserve"> IF(B269="","",setValueToTime(B269))</f>
        <v>0h15min</v>
      </c>
      <c r="D269" s="166" t="s">
        <v>145</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15</v>
      </c>
      <c r="C278" s="162"/>
      <c r="D278" s="81" t="s">
        <v>14</v>
      </c>
      <c r="E278" s="93">
        <v>44237</v>
      </c>
      <c r="F278" s="125" t="s">
        <v>74</v>
      </c>
      <c r="G278" s="45"/>
    </row>
    <row r="279" spans="1:7" s="46" customFormat="1" ht="30" customHeight="1" thickBot="1">
      <c r="A279" s="79" t="s">
        <v>4</v>
      </c>
      <c r="B279" s="149" t="s">
        <v>38</v>
      </c>
      <c r="C279" s="150"/>
      <c r="D279" s="79" t="s">
        <v>12</v>
      </c>
      <c r="E279" s="237" t="s">
        <v>13</v>
      </c>
      <c r="F279" s="238"/>
      <c r="G279" s="45"/>
    </row>
    <row r="280" spans="1:7" s="51" customFormat="1">
      <c r="A280" s="47" t="s">
        <v>60</v>
      </c>
      <c r="B280" s="48">
        <v>45</v>
      </c>
      <c r="C280" s="151" t="str">
        <f xml:space="preserve"> IF(B280="","",setValueToTime(B280))</f>
        <v>3h45min</v>
      </c>
      <c r="D280" s="165" t="s">
        <v>143</v>
      </c>
      <c r="E280" s="239"/>
      <c r="F280" s="240"/>
      <c r="G280" s="50"/>
    </row>
    <row r="281" spans="1:7" s="51" customFormat="1">
      <c r="A281" s="52"/>
      <c r="B281" s="53"/>
      <c r="C281" s="152" t="str">
        <f t="shared" ref="C281:C287" si="23" xml:space="preserve"> IF(B281="","",setValueToTime(B281))</f>
        <v/>
      </c>
      <c r="D281" s="54"/>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14</v>
      </c>
      <c r="C290" s="162"/>
      <c r="D290" s="81" t="s">
        <v>14</v>
      </c>
      <c r="E290" s="93">
        <v>44235</v>
      </c>
      <c r="F290" s="125" t="s">
        <v>74</v>
      </c>
      <c r="G290" s="45"/>
    </row>
    <row r="291" spans="1:7" s="46" customFormat="1" ht="30" customHeight="1" thickBot="1">
      <c r="A291" s="79" t="s">
        <v>4</v>
      </c>
      <c r="B291" s="149" t="s">
        <v>38</v>
      </c>
      <c r="C291" s="150"/>
      <c r="D291" s="79" t="s">
        <v>12</v>
      </c>
      <c r="E291" s="237" t="s">
        <v>13</v>
      </c>
      <c r="F291" s="238"/>
      <c r="G291" s="45"/>
    </row>
    <row r="292" spans="1:7" s="51" customFormat="1">
      <c r="A292" s="47" t="s">
        <v>51</v>
      </c>
      <c r="B292" s="48">
        <v>36</v>
      </c>
      <c r="C292" s="151" t="str">
        <f xml:space="preserve"> IF(B292="","",setValueToTime(B292))</f>
        <v>3h</v>
      </c>
      <c r="D292" s="165" t="s">
        <v>142</v>
      </c>
      <c r="E292" s="239"/>
      <c r="F292" s="240"/>
      <c r="G292" s="50"/>
    </row>
    <row r="293" spans="1:7" s="51" customFormat="1">
      <c r="A293" s="52"/>
      <c r="B293" s="53"/>
      <c r="C293" s="152" t="str">
        <f t="shared" ref="C293:C299" si="24" xml:space="preserve"> IF(B293="","",setValueToTime(B293))</f>
        <v/>
      </c>
      <c r="D293" s="54"/>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13</v>
      </c>
      <c r="C302" s="162"/>
      <c r="D302" s="81" t="s">
        <v>14</v>
      </c>
      <c r="E302" s="93">
        <v>44232</v>
      </c>
      <c r="F302" s="125" t="s">
        <v>75</v>
      </c>
      <c r="G302" s="45"/>
    </row>
    <row r="303" spans="1:7" s="46" customFormat="1" ht="30" customHeight="1" thickBot="1">
      <c r="A303" s="79" t="s">
        <v>4</v>
      </c>
      <c r="B303" s="149" t="s">
        <v>38</v>
      </c>
      <c r="C303" s="150"/>
      <c r="D303" s="79" t="s">
        <v>12</v>
      </c>
      <c r="E303" s="237" t="s">
        <v>13</v>
      </c>
      <c r="F303" s="238"/>
      <c r="G303" s="45"/>
    </row>
    <row r="304" spans="1:7" s="51" customFormat="1" ht="27">
      <c r="A304" s="47" t="s">
        <v>117</v>
      </c>
      <c r="B304" s="48">
        <v>33</v>
      </c>
      <c r="C304" s="151" t="str">
        <f xml:space="preserve"> IF(B304="","",setValueToTime(B304))</f>
        <v>2h45min</v>
      </c>
      <c r="D304" s="165" t="s">
        <v>124</v>
      </c>
      <c r="E304" s="239"/>
      <c r="F304" s="240"/>
      <c r="G304" s="50"/>
    </row>
    <row r="305" spans="1:7" s="51" customFormat="1">
      <c r="A305" s="52" t="s">
        <v>15</v>
      </c>
      <c r="B305" s="53">
        <v>3</v>
      </c>
      <c r="C305" s="152" t="str">
        <f t="shared" ref="C305:C311" si="25" xml:space="preserve"> IF(B305="","",setValueToTime(B305))</f>
        <v>0h15min</v>
      </c>
      <c r="D305" s="166" t="s">
        <v>114</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36</v>
      </c>
      <c r="C312" s="110" t="str">
        <f xml:space="preserve"> setValueToTime(B312)</f>
        <v>3h</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12</v>
      </c>
      <c r="C314" s="162"/>
      <c r="D314" s="81" t="s">
        <v>14</v>
      </c>
      <c r="E314" s="93">
        <v>44232</v>
      </c>
      <c r="F314" s="125" t="s">
        <v>74</v>
      </c>
      <c r="G314" s="45"/>
    </row>
    <row r="315" spans="1:7" s="46" customFormat="1" ht="30" customHeight="1" thickBot="1">
      <c r="A315" s="79" t="s">
        <v>4</v>
      </c>
      <c r="B315" s="149" t="s">
        <v>38</v>
      </c>
      <c r="C315" s="150"/>
      <c r="D315" s="79" t="s">
        <v>12</v>
      </c>
      <c r="E315" s="237" t="s">
        <v>13</v>
      </c>
      <c r="F315" s="238"/>
      <c r="G315" s="45"/>
    </row>
    <row r="316" spans="1:7" s="51" customFormat="1" ht="27">
      <c r="A316" s="47" t="s">
        <v>62</v>
      </c>
      <c r="B316" s="48">
        <v>36</v>
      </c>
      <c r="C316" s="151" t="str">
        <f xml:space="preserve"> IF(B316="","",setValueToTime(B316))</f>
        <v>3h</v>
      </c>
      <c r="D316" s="165" t="s">
        <v>123</v>
      </c>
      <c r="E316" s="239"/>
      <c r="F316" s="240"/>
      <c r="G316" s="50"/>
    </row>
    <row r="317" spans="1:7" s="51" customFormat="1">
      <c r="A317" s="52"/>
      <c r="B317" s="53"/>
      <c r="C317" s="152" t="str">
        <f t="shared" ref="C317:C323" si="26" xml:space="preserve"> IF(B317="","",setValueToTime(B317))</f>
        <v/>
      </c>
      <c r="D317" s="54"/>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36</v>
      </c>
      <c r="C324" s="110" t="str">
        <f xml:space="preserve"> setValueToTime(B324)</f>
        <v>3h</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11</v>
      </c>
      <c r="C326" s="162"/>
      <c r="D326" s="81" t="s">
        <v>14</v>
      </c>
      <c r="E326" s="93">
        <v>44231</v>
      </c>
      <c r="F326" s="125" t="s">
        <v>75</v>
      </c>
      <c r="G326" s="45"/>
    </row>
    <row r="327" spans="1:7" s="46" customFormat="1" ht="30" customHeight="1" thickBot="1">
      <c r="A327" s="79" t="s">
        <v>4</v>
      </c>
      <c r="B327" s="149" t="s">
        <v>38</v>
      </c>
      <c r="C327" s="150"/>
      <c r="D327" s="79" t="s">
        <v>12</v>
      </c>
      <c r="E327" s="237" t="s">
        <v>13</v>
      </c>
      <c r="F327" s="238"/>
      <c r="G327" s="45"/>
    </row>
    <row r="328" spans="1:7" s="51" customFormat="1">
      <c r="A328" s="47" t="s">
        <v>59</v>
      </c>
      <c r="B328" s="48">
        <v>18</v>
      </c>
      <c r="C328" s="151" t="str">
        <f xml:space="preserve"> IF(B328="","",setValueToTime(B328))</f>
        <v>1h30min</v>
      </c>
      <c r="D328" s="165" t="s">
        <v>120</v>
      </c>
      <c r="E328" s="239"/>
      <c r="F328" s="240"/>
      <c r="G328" s="50"/>
    </row>
    <row r="329" spans="1:7" s="51" customFormat="1" ht="27">
      <c r="A329" s="52" t="s">
        <v>62</v>
      </c>
      <c r="B329" s="53">
        <v>15</v>
      </c>
      <c r="C329" s="152" t="str">
        <f t="shared" ref="C329:C335" si="27" xml:space="preserve"> IF(B329="","",setValueToTime(B329))</f>
        <v>1h15min</v>
      </c>
      <c r="D329" s="166" t="s">
        <v>122</v>
      </c>
      <c r="E329" s="241"/>
      <c r="F329" s="242"/>
      <c r="G329" s="50"/>
    </row>
    <row r="330" spans="1:7" s="51" customFormat="1">
      <c r="A330" s="52" t="s">
        <v>15</v>
      </c>
      <c r="B330" s="53">
        <v>3</v>
      </c>
      <c r="C330" s="152" t="str">
        <f t="shared" si="27"/>
        <v>0h15min</v>
      </c>
      <c r="D330" s="166" t="s">
        <v>106</v>
      </c>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36</v>
      </c>
      <c r="C336" s="110" t="str">
        <f xml:space="preserve"> setValueToTime(B336)</f>
        <v>3h</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10</v>
      </c>
      <c r="C338" s="162"/>
      <c r="D338" s="81" t="s">
        <v>14</v>
      </c>
      <c r="E338" s="93">
        <v>44231</v>
      </c>
      <c r="F338" s="125" t="s">
        <v>74</v>
      </c>
      <c r="G338" s="45"/>
    </row>
    <row r="339" spans="1:7" s="46" customFormat="1" ht="30" customHeight="1" thickBot="1">
      <c r="A339" s="79" t="s">
        <v>4</v>
      </c>
      <c r="B339" s="149" t="s">
        <v>38</v>
      </c>
      <c r="C339" s="150"/>
      <c r="D339" s="79" t="s">
        <v>12</v>
      </c>
      <c r="E339" s="237" t="s">
        <v>13</v>
      </c>
      <c r="F339" s="238"/>
      <c r="G339" s="45"/>
    </row>
    <row r="340" spans="1:7" s="51" customFormat="1">
      <c r="A340" s="47" t="s">
        <v>59</v>
      </c>
      <c r="B340" s="48">
        <v>45</v>
      </c>
      <c r="C340" s="151" t="str">
        <f xml:space="preserve"> IF(B340="","",setValueToTime(B340))</f>
        <v>3h45min</v>
      </c>
      <c r="D340" s="165" t="s">
        <v>121</v>
      </c>
      <c r="E340" s="239"/>
      <c r="F340" s="240"/>
      <c r="G340" s="50"/>
    </row>
    <row r="341" spans="1:7" s="51" customFormat="1">
      <c r="A341" s="52"/>
      <c r="B341" s="53"/>
      <c r="C341" s="152" t="str">
        <f t="shared" ref="C341:C347" si="28" xml:space="preserve"> IF(B341="","",setValueToTime(B341))</f>
        <v/>
      </c>
      <c r="D341" s="54"/>
      <c r="E341" s="241"/>
      <c r="F341" s="242"/>
      <c r="G341" s="50"/>
    </row>
    <row r="342" spans="1:7" s="51" customFormat="1">
      <c r="A342" s="52"/>
      <c r="B342" s="53"/>
      <c r="C342" s="152" t="str">
        <f t="shared" si="28"/>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45</v>
      </c>
      <c r="C348" s="110" t="str">
        <f xml:space="preserve"> setValueToTime(B348)</f>
        <v>3h45min</v>
      </c>
      <c r="D348" s="119"/>
      <c r="E348" s="235"/>
      <c r="F348" s="236"/>
      <c r="G348" s="50"/>
    </row>
    <row r="349" spans="1:7" s="58" customFormat="1" ht="15" thickBot="1">
      <c r="A349" s="78"/>
      <c r="B349" s="78"/>
      <c r="C349" s="78"/>
      <c r="D349" s="78"/>
      <c r="E349" s="78"/>
      <c r="F349" s="78"/>
      <c r="G349" s="57"/>
    </row>
    <row r="350" spans="1:7" s="46" customFormat="1" ht="30" customHeight="1" thickBot="1">
      <c r="A350" s="80" t="s">
        <v>11</v>
      </c>
      <c r="B350" s="162">
        <v>9</v>
      </c>
      <c r="C350" s="162"/>
      <c r="D350" s="81" t="s">
        <v>14</v>
      </c>
      <c r="E350" s="93">
        <v>44230</v>
      </c>
      <c r="F350" s="125" t="s">
        <v>75</v>
      </c>
      <c r="G350" s="45"/>
    </row>
    <row r="351" spans="1:7" s="46" customFormat="1" ht="30" customHeight="1" thickBot="1">
      <c r="A351" s="79" t="s">
        <v>4</v>
      </c>
      <c r="B351" s="149" t="s">
        <v>38</v>
      </c>
      <c r="C351" s="150"/>
      <c r="D351" s="79" t="s">
        <v>12</v>
      </c>
      <c r="E351" s="237" t="s">
        <v>13</v>
      </c>
      <c r="F351" s="238"/>
      <c r="G351" s="45"/>
    </row>
    <row r="352" spans="1:7" s="51" customFormat="1">
      <c r="A352" s="47" t="s">
        <v>60</v>
      </c>
      <c r="B352" s="48">
        <v>18</v>
      </c>
      <c r="C352" s="151" t="str">
        <f xml:space="preserve"> IF(B352="","",setValueToTime(B352))</f>
        <v>1h30min</v>
      </c>
      <c r="D352" s="165" t="s">
        <v>116</v>
      </c>
      <c r="E352" s="239"/>
      <c r="F352" s="240"/>
      <c r="G352" s="50"/>
    </row>
    <row r="353" spans="1:7" s="51" customFormat="1">
      <c r="A353" s="52" t="s">
        <v>59</v>
      </c>
      <c r="B353" s="53">
        <v>15</v>
      </c>
      <c r="C353" s="152" t="str">
        <f t="shared" ref="C353:C359" si="29" xml:space="preserve"> IF(B353="","",setValueToTime(B353))</f>
        <v>1h15min</v>
      </c>
      <c r="D353" s="166" t="s">
        <v>119</v>
      </c>
      <c r="E353" s="241"/>
      <c r="F353" s="242"/>
      <c r="G353" s="50"/>
    </row>
    <row r="354" spans="1:7" s="51" customFormat="1">
      <c r="A354" s="52" t="s">
        <v>15</v>
      </c>
      <c r="B354" s="53">
        <v>3</v>
      </c>
      <c r="C354" s="152" t="str">
        <f t="shared" si="29"/>
        <v>0h15min</v>
      </c>
      <c r="D354" s="166" t="s">
        <v>106</v>
      </c>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10" t="s">
        <v>27</v>
      </c>
      <c r="B360" s="83">
        <f>SUM(B352:B359)</f>
        <v>36</v>
      </c>
      <c r="C360" s="110" t="str">
        <f xml:space="preserve"> setValueToTime(B360)</f>
        <v>3h</v>
      </c>
      <c r="D360" s="119"/>
      <c r="E360" s="235"/>
      <c r="F360" s="236"/>
      <c r="G360" s="50"/>
    </row>
    <row r="361" spans="1:7" s="58" customFormat="1" ht="15" thickBot="1">
      <c r="A361" s="78"/>
      <c r="B361" s="78"/>
      <c r="C361" s="78"/>
      <c r="D361" s="78"/>
      <c r="E361" s="78"/>
      <c r="F361" s="78"/>
      <c r="G361" s="57"/>
    </row>
    <row r="362" spans="1:7" s="46" customFormat="1" ht="30" customHeight="1" thickBot="1">
      <c r="A362" s="80" t="s">
        <v>11</v>
      </c>
      <c r="B362" s="162">
        <v>8</v>
      </c>
      <c r="C362" s="162"/>
      <c r="D362" s="81" t="s">
        <v>14</v>
      </c>
      <c r="E362" s="93">
        <v>44230</v>
      </c>
      <c r="F362" s="125" t="s">
        <v>74</v>
      </c>
      <c r="G362" s="45"/>
    </row>
    <row r="363" spans="1:7" s="46" customFormat="1" ht="30" customHeight="1" thickBot="1">
      <c r="A363" s="79" t="s">
        <v>4</v>
      </c>
      <c r="B363" s="149" t="s">
        <v>38</v>
      </c>
      <c r="C363" s="150"/>
      <c r="D363" s="79" t="s">
        <v>12</v>
      </c>
      <c r="E363" s="237" t="s">
        <v>13</v>
      </c>
      <c r="F363" s="238"/>
      <c r="G363" s="45"/>
    </row>
    <row r="364" spans="1:7" s="51" customFormat="1">
      <c r="A364" s="47" t="s">
        <v>56</v>
      </c>
      <c r="B364" s="48">
        <v>3</v>
      </c>
      <c r="C364" s="151"/>
      <c r="D364" s="165" t="s">
        <v>112</v>
      </c>
      <c r="E364" s="239"/>
      <c r="F364" s="240"/>
      <c r="G364" s="50"/>
    </row>
    <row r="365" spans="1:7" s="51" customFormat="1">
      <c r="A365" s="52" t="s">
        <v>60</v>
      </c>
      <c r="B365" s="53">
        <v>42</v>
      </c>
      <c r="C365" s="152"/>
      <c r="D365" s="166" t="s">
        <v>115</v>
      </c>
      <c r="E365" s="241"/>
      <c r="F365" s="242"/>
      <c r="G365" s="50"/>
    </row>
    <row r="366" spans="1:7" s="51" customFormat="1">
      <c r="A366" s="52"/>
      <c r="B366" s="53"/>
      <c r="C366" s="152" t="str">
        <f t="shared" ref="C366:C371" si="30" xml:space="preserve"> IF(B366="","",setValueToTime(B366))</f>
        <v/>
      </c>
      <c r="D366" s="54"/>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10" t="s">
        <v>27</v>
      </c>
      <c r="B372" s="83">
        <f>SUM(B364:B371)</f>
        <v>45</v>
      </c>
      <c r="C372" s="110" t="str">
        <f xml:space="preserve"> setValueToTime(B372)</f>
        <v>3h45min</v>
      </c>
      <c r="D372" s="119"/>
      <c r="E372" s="235"/>
      <c r="F372" s="236"/>
      <c r="G372" s="50"/>
    </row>
    <row r="373" spans="1:7" s="58" customFormat="1" ht="15" thickBot="1">
      <c r="A373" s="78"/>
      <c r="B373" s="78"/>
      <c r="C373" s="78"/>
      <c r="D373" s="78"/>
      <c r="E373" s="78"/>
      <c r="F373" s="78"/>
      <c r="G373" s="57"/>
    </row>
    <row r="374" spans="1:7" s="46" customFormat="1" ht="30" customHeight="1" thickBot="1">
      <c r="A374" s="80" t="s">
        <v>11</v>
      </c>
      <c r="B374" s="162">
        <v>7</v>
      </c>
      <c r="C374" s="162"/>
      <c r="D374" s="81" t="s">
        <v>14</v>
      </c>
      <c r="E374" s="93">
        <v>44228</v>
      </c>
      <c r="F374" s="125" t="s">
        <v>74</v>
      </c>
      <c r="G374" s="45"/>
    </row>
    <row r="375" spans="1:7" s="46" customFormat="1" ht="30" customHeight="1" thickBot="1">
      <c r="A375" s="79" t="s">
        <v>4</v>
      </c>
      <c r="B375" s="149" t="s">
        <v>38</v>
      </c>
      <c r="C375" s="150"/>
      <c r="D375" s="79" t="s">
        <v>12</v>
      </c>
      <c r="E375" s="237" t="s">
        <v>13</v>
      </c>
      <c r="F375" s="238"/>
      <c r="G375" s="45"/>
    </row>
    <row r="376" spans="1:7" s="51" customFormat="1">
      <c r="A376" s="47" t="s">
        <v>56</v>
      </c>
      <c r="B376" s="48">
        <v>3</v>
      </c>
      <c r="C376" s="151" t="str">
        <f xml:space="preserve"> IF(B376="","",setValueToTime(B376))</f>
        <v>0h15min</v>
      </c>
      <c r="D376" s="165" t="s">
        <v>112</v>
      </c>
      <c r="E376" s="239"/>
      <c r="F376" s="240"/>
      <c r="G376" s="50"/>
    </row>
    <row r="377" spans="1:7" s="51" customFormat="1">
      <c r="A377" s="52" t="s">
        <v>60</v>
      </c>
      <c r="B377" s="53">
        <v>33</v>
      </c>
      <c r="C377" s="152" t="str">
        <f t="shared" ref="C377:C383" si="31" xml:space="preserve"> IF(B377="","",setValueToTime(B377))</f>
        <v>2h45min</v>
      </c>
      <c r="D377" s="166" t="s">
        <v>113</v>
      </c>
      <c r="E377" s="241"/>
      <c r="F377" s="242"/>
      <c r="G377" s="50"/>
    </row>
    <row r="378" spans="1:7" s="51" customFormat="1">
      <c r="A378" s="52"/>
      <c r="B378" s="53"/>
      <c r="C378" s="152" t="str">
        <f t="shared" si="31"/>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10" t="s">
        <v>27</v>
      </c>
      <c r="B384" s="83">
        <f>SUM(B376:B383)</f>
        <v>36</v>
      </c>
      <c r="C384" s="110" t="str">
        <f xml:space="preserve"> setValueToTime(B384)</f>
        <v>3h</v>
      </c>
      <c r="D384" s="119"/>
      <c r="E384" s="235"/>
      <c r="F384" s="236"/>
      <c r="G384" s="50"/>
    </row>
    <row r="385" spans="1:7" s="58" customFormat="1" ht="15" thickBot="1">
      <c r="A385" s="78"/>
      <c r="B385" s="78"/>
      <c r="C385" s="78"/>
      <c r="D385" s="78"/>
      <c r="E385" s="78"/>
      <c r="F385" s="78"/>
      <c r="G385" s="57"/>
    </row>
    <row r="386" spans="1:7" s="46" customFormat="1" ht="30" customHeight="1" thickBot="1">
      <c r="A386" s="80" t="s">
        <v>11</v>
      </c>
      <c r="B386" s="162">
        <v>6</v>
      </c>
      <c r="C386" s="162"/>
      <c r="D386" s="81" t="s">
        <v>14</v>
      </c>
      <c r="E386" s="93">
        <v>44225</v>
      </c>
      <c r="F386" s="125" t="s">
        <v>91</v>
      </c>
      <c r="G386" s="45"/>
    </row>
    <row r="387" spans="1:7" s="46" customFormat="1" ht="30" customHeight="1" thickBot="1">
      <c r="A387" s="79" t="s">
        <v>4</v>
      </c>
      <c r="B387" s="149" t="s">
        <v>38</v>
      </c>
      <c r="C387" s="150"/>
      <c r="D387" s="79" t="s">
        <v>12</v>
      </c>
      <c r="E387" s="237" t="s">
        <v>13</v>
      </c>
      <c r="F387" s="238"/>
      <c r="G387" s="45"/>
    </row>
    <row r="388" spans="1:7" s="51" customFormat="1">
      <c r="A388" s="47" t="s">
        <v>58</v>
      </c>
      <c r="B388" s="48">
        <v>33</v>
      </c>
      <c r="C388" s="151" t="str">
        <f xml:space="preserve"> IF(B388="","",setValueToTime(B388))</f>
        <v>2h45min</v>
      </c>
      <c r="D388" s="165" t="s">
        <v>96</v>
      </c>
      <c r="E388" s="239"/>
      <c r="F388" s="240"/>
      <c r="G388" s="50"/>
    </row>
    <row r="389" spans="1:7" s="51" customFormat="1">
      <c r="A389" s="52" t="s">
        <v>15</v>
      </c>
      <c r="B389" s="53">
        <v>3</v>
      </c>
      <c r="C389" s="152" t="str">
        <f t="shared" ref="C389:C395" si="32" xml:space="preserve"> IF(B389="","",setValueToTime(B389))</f>
        <v>0h15min</v>
      </c>
      <c r="D389" s="166" t="s">
        <v>94</v>
      </c>
      <c r="E389" s="241"/>
      <c r="F389" s="242"/>
      <c r="G389" s="50"/>
    </row>
    <row r="390" spans="1:7" s="51" customFormat="1">
      <c r="A390" s="52"/>
      <c r="B390" s="53"/>
      <c r="C390" s="152" t="str">
        <f t="shared" si="32"/>
        <v/>
      </c>
      <c r="D390" s="54"/>
      <c r="E390" s="241"/>
      <c r="F390" s="242"/>
      <c r="G390" s="50"/>
    </row>
    <row r="391" spans="1:7" s="51" customFormat="1">
      <c r="A391" s="52"/>
      <c r="B391" s="53"/>
      <c r="C391" s="152" t="str">
        <f t="shared" si="32"/>
        <v/>
      </c>
      <c r="D391" s="54"/>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10" t="s">
        <v>27</v>
      </c>
      <c r="B396" s="83">
        <f>SUM(B388:B395)</f>
        <v>36</v>
      </c>
      <c r="C396" s="110" t="str">
        <f xml:space="preserve"> setValueToTime(B396)</f>
        <v>3h</v>
      </c>
      <c r="D396" s="119"/>
      <c r="E396" s="235"/>
      <c r="F396" s="236"/>
      <c r="G396" s="50"/>
    </row>
    <row r="397" spans="1:7" s="58" customFormat="1" ht="15" thickBot="1">
      <c r="A397" s="78"/>
      <c r="B397" s="78"/>
      <c r="C397" s="78"/>
      <c r="D397" s="78"/>
      <c r="E397" s="78"/>
      <c r="F397" s="78"/>
      <c r="G397" s="57"/>
    </row>
    <row r="398" spans="1:7" s="46" customFormat="1" ht="30" customHeight="1" thickBot="1">
      <c r="A398" s="80" t="s">
        <v>11</v>
      </c>
      <c r="B398" s="162">
        <v>5</v>
      </c>
      <c r="C398" s="162"/>
      <c r="D398" s="81" t="s">
        <v>14</v>
      </c>
      <c r="E398" s="93">
        <v>44225</v>
      </c>
      <c r="F398" s="125" t="s">
        <v>86</v>
      </c>
      <c r="G398" s="45"/>
    </row>
    <row r="399" spans="1:7" s="46" customFormat="1" ht="30" customHeight="1" thickBot="1">
      <c r="A399" s="79" t="s">
        <v>4</v>
      </c>
      <c r="B399" s="149" t="s">
        <v>38</v>
      </c>
      <c r="C399" s="150"/>
      <c r="D399" s="79" t="s">
        <v>12</v>
      </c>
      <c r="E399" s="237" t="s">
        <v>13</v>
      </c>
      <c r="F399" s="238"/>
      <c r="G399" s="45"/>
    </row>
    <row r="400" spans="1:7" s="51" customFormat="1">
      <c r="A400" s="47" t="s">
        <v>58</v>
      </c>
      <c r="B400" s="48">
        <v>36</v>
      </c>
      <c r="C400" s="151" t="str">
        <f xml:space="preserve"> IF(B400="","",setValueToTime(B400))</f>
        <v>3h</v>
      </c>
      <c r="D400" s="165" t="s">
        <v>95</v>
      </c>
      <c r="E400" s="239"/>
      <c r="F400" s="240"/>
      <c r="G400" s="50"/>
    </row>
    <row r="401" spans="1:7" s="51" customFormat="1">
      <c r="A401" s="52"/>
      <c r="B401" s="53"/>
      <c r="C401" s="152" t="str">
        <f t="shared" ref="C401:C407" si="33" xml:space="preserve"> IF(B401="","",setValueToTime(B401))</f>
        <v/>
      </c>
      <c r="D401" s="54"/>
      <c r="E401" s="241"/>
      <c r="F401" s="242"/>
      <c r="G401" s="50"/>
    </row>
    <row r="402" spans="1:7" s="51" customFormat="1">
      <c r="A402" s="52"/>
      <c r="B402" s="53"/>
      <c r="C402" s="152" t="str">
        <f t="shared" si="33"/>
        <v/>
      </c>
      <c r="D402" s="54"/>
      <c r="E402" s="241"/>
      <c r="F402" s="242"/>
      <c r="G402" s="50"/>
    </row>
    <row r="403" spans="1:7" s="51" customFormat="1">
      <c r="A403" s="52"/>
      <c r="B403" s="53"/>
      <c r="C403" s="152" t="str">
        <f t="shared" si="33"/>
        <v/>
      </c>
      <c r="D403" s="54"/>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10" t="s">
        <v>27</v>
      </c>
      <c r="B408" s="83">
        <f>SUM(B400:B407)</f>
        <v>36</v>
      </c>
      <c r="C408" s="110" t="str">
        <f xml:space="preserve"> setValueToTime(B408)</f>
        <v>3h</v>
      </c>
      <c r="D408" s="119"/>
      <c r="E408" s="235"/>
      <c r="F408" s="236"/>
      <c r="G408" s="50"/>
    </row>
    <row r="409" spans="1:7" s="58" customFormat="1" ht="15" thickBot="1">
      <c r="A409" s="78"/>
      <c r="B409" s="78"/>
      <c r="C409" s="78"/>
      <c r="D409" s="78"/>
      <c r="E409" s="78"/>
      <c r="F409" s="78"/>
      <c r="G409" s="57"/>
    </row>
    <row r="410" spans="1:7" s="46" customFormat="1" ht="30" customHeight="1" thickBot="1">
      <c r="A410" s="80" t="s">
        <v>11</v>
      </c>
      <c r="B410" s="162">
        <v>4</v>
      </c>
      <c r="C410" s="162"/>
      <c r="D410" s="81" t="s">
        <v>14</v>
      </c>
      <c r="E410" s="93">
        <v>44224</v>
      </c>
      <c r="F410" s="125" t="s">
        <v>91</v>
      </c>
      <c r="G410" s="45"/>
    </row>
    <row r="411" spans="1:7" s="46" customFormat="1" ht="30" customHeight="1" thickBot="1">
      <c r="A411" s="79" t="s">
        <v>4</v>
      </c>
      <c r="B411" s="149" t="s">
        <v>38</v>
      </c>
      <c r="C411" s="150"/>
      <c r="D411" s="79" t="s">
        <v>12</v>
      </c>
      <c r="E411" s="237" t="s">
        <v>13</v>
      </c>
      <c r="F411" s="238"/>
      <c r="G411" s="45"/>
    </row>
    <row r="412" spans="1:7" s="51" customFormat="1">
      <c r="A412" s="47" t="s">
        <v>50</v>
      </c>
      <c r="B412" s="48">
        <v>18</v>
      </c>
      <c r="C412" s="151" t="str">
        <f xml:space="preserve"> IF(B412="","",setValueToTime(B412))</f>
        <v>1h30min</v>
      </c>
      <c r="D412" s="165" t="s">
        <v>92</v>
      </c>
      <c r="E412" s="239"/>
      <c r="F412" s="240"/>
      <c r="G412" s="50"/>
    </row>
    <row r="413" spans="1:7" s="51" customFormat="1">
      <c r="A413" s="52" t="s">
        <v>58</v>
      </c>
      <c r="B413" s="53">
        <v>15</v>
      </c>
      <c r="C413" s="152" t="str">
        <f t="shared" ref="C413:C419" si="34" xml:space="preserve"> IF(B413="","",setValueToTime(B413))</f>
        <v>1h15min</v>
      </c>
      <c r="D413" s="166" t="s">
        <v>93</v>
      </c>
      <c r="E413" s="241"/>
      <c r="F413" s="242"/>
      <c r="G413" s="50"/>
    </row>
    <row r="414" spans="1:7" s="51" customFormat="1">
      <c r="A414" s="52" t="s">
        <v>15</v>
      </c>
      <c r="B414" s="53">
        <v>3</v>
      </c>
      <c r="C414" s="152" t="str">
        <f t="shared" si="34"/>
        <v>0h15min</v>
      </c>
      <c r="D414" s="166" t="s">
        <v>94</v>
      </c>
      <c r="E414" s="241"/>
      <c r="F414" s="242"/>
      <c r="G414" s="50"/>
    </row>
    <row r="415" spans="1:7" s="51" customFormat="1">
      <c r="A415" s="52"/>
      <c r="B415" s="53"/>
      <c r="C415" s="152" t="str">
        <f t="shared" si="34"/>
        <v/>
      </c>
      <c r="D415" s="54"/>
      <c r="E415" s="241"/>
      <c r="F415" s="242"/>
      <c r="G415" s="50"/>
    </row>
    <row r="416" spans="1:7" s="51" customFormat="1">
      <c r="A416" s="53"/>
      <c r="B416" s="53"/>
      <c r="C416" s="153" t="str">
        <f t="shared" si="34"/>
        <v/>
      </c>
      <c r="D416" s="54"/>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15" thickBot="1">
      <c r="A420" s="110" t="s">
        <v>27</v>
      </c>
      <c r="B420" s="83">
        <f>SUM(B412:B419)</f>
        <v>36</v>
      </c>
      <c r="C420" s="110" t="str">
        <f xml:space="preserve"> setValueToTime(B420)</f>
        <v>3h</v>
      </c>
      <c r="D420" s="119"/>
      <c r="E420" s="235"/>
      <c r="F420" s="236"/>
      <c r="G420" s="50"/>
    </row>
    <row r="421" spans="1:7" s="58" customFormat="1" ht="15" thickBot="1">
      <c r="A421" s="78"/>
      <c r="B421" s="78"/>
      <c r="C421" s="78"/>
      <c r="D421" s="78"/>
      <c r="E421" s="78"/>
      <c r="F421" s="78"/>
      <c r="G421" s="57"/>
    </row>
    <row r="422" spans="1:7" s="46" customFormat="1" ht="30" customHeight="1" thickBot="1">
      <c r="A422" s="80" t="s">
        <v>11</v>
      </c>
      <c r="B422" s="162">
        <v>3</v>
      </c>
      <c r="C422" s="162"/>
      <c r="D422" s="81" t="s">
        <v>14</v>
      </c>
      <c r="E422" s="93">
        <v>44224</v>
      </c>
      <c r="F422" s="125" t="s">
        <v>86</v>
      </c>
      <c r="G422" s="45"/>
    </row>
    <row r="423" spans="1:7" s="46" customFormat="1" ht="30" customHeight="1" thickBot="1">
      <c r="A423" s="79" t="s">
        <v>4</v>
      </c>
      <c r="B423" s="149" t="s">
        <v>38</v>
      </c>
      <c r="C423" s="150"/>
      <c r="D423" s="79" t="s">
        <v>12</v>
      </c>
      <c r="E423" s="237" t="s">
        <v>13</v>
      </c>
      <c r="F423" s="238"/>
      <c r="G423" s="45"/>
    </row>
    <row r="424" spans="1:7" s="51" customFormat="1">
      <c r="A424" s="47" t="s">
        <v>15</v>
      </c>
      <c r="B424" s="48">
        <v>12</v>
      </c>
      <c r="C424" s="151" t="str">
        <f xml:space="preserve"> IF(B424="","",setValueToTime(B424))</f>
        <v>1h</v>
      </c>
      <c r="D424" s="165" t="s">
        <v>87</v>
      </c>
      <c r="E424" s="239"/>
      <c r="F424" s="240"/>
      <c r="G424" s="50"/>
    </row>
    <row r="425" spans="1:7" s="51" customFormat="1">
      <c r="A425" s="52" t="s">
        <v>50</v>
      </c>
      <c r="B425" s="53">
        <v>18</v>
      </c>
      <c r="C425" s="152" t="str">
        <f t="shared" ref="C425:C431" si="35" xml:space="preserve"> IF(B425="","",setValueToTime(B425))</f>
        <v>1h30min</v>
      </c>
      <c r="D425" s="166" t="s">
        <v>88</v>
      </c>
      <c r="E425" s="241"/>
      <c r="F425" s="242"/>
      <c r="G425" s="50"/>
    </row>
    <row r="426" spans="1:7" s="51" customFormat="1">
      <c r="A426" s="52" t="s">
        <v>52</v>
      </c>
      <c r="B426" s="53">
        <v>12</v>
      </c>
      <c r="C426" s="152" t="str">
        <f t="shared" si="35"/>
        <v>1h</v>
      </c>
      <c r="D426" s="166" t="s">
        <v>89</v>
      </c>
      <c r="E426" s="241"/>
      <c r="F426" s="242"/>
      <c r="G426" s="50"/>
    </row>
    <row r="427" spans="1:7" s="51" customFormat="1">
      <c r="A427" s="52" t="s">
        <v>15</v>
      </c>
      <c r="B427" s="53">
        <v>3</v>
      </c>
      <c r="C427" s="152" t="str">
        <f t="shared" si="35"/>
        <v>0h15min</v>
      </c>
      <c r="D427" s="166" t="s">
        <v>90</v>
      </c>
      <c r="E427" s="241"/>
      <c r="F427" s="242"/>
      <c r="G427" s="50"/>
    </row>
    <row r="428" spans="1:7" s="51" customFormat="1">
      <c r="A428" s="53"/>
      <c r="B428" s="53"/>
      <c r="C428" s="153" t="str">
        <f t="shared" si="35"/>
        <v/>
      </c>
      <c r="D428" s="54"/>
      <c r="E428" s="241"/>
      <c r="F428" s="242"/>
      <c r="G428" s="50"/>
    </row>
    <row r="429" spans="1:7" s="51" customFormat="1">
      <c r="A429" s="53"/>
      <c r="B429" s="53"/>
      <c r="C429" s="153" t="str">
        <f t="shared" si="35"/>
        <v/>
      </c>
      <c r="D429" s="54"/>
      <c r="E429" s="241"/>
      <c r="F429" s="242"/>
      <c r="G429" s="50"/>
    </row>
    <row r="430" spans="1:7" s="51" customFormat="1">
      <c r="A430" s="53"/>
      <c r="B430" s="53"/>
      <c r="C430" s="153" t="str">
        <f t="shared" si="35"/>
        <v/>
      </c>
      <c r="D430" s="54"/>
      <c r="E430" s="241"/>
      <c r="F430" s="242"/>
      <c r="G430" s="50"/>
    </row>
    <row r="431" spans="1:7" s="51" customFormat="1" ht="15" thickBot="1">
      <c r="A431" s="55"/>
      <c r="B431" s="55"/>
      <c r="C431" s="154" t="str">
        <f t="shared" si="35"/>
        <v/>
      </c>
      <c r="D431" s="56"/>
      <c r="E431" s="243"/>
      <c r="F431" s="244"/>
      <c r="G431" s="50"/>
    </row>
    <row r="432" spans="1:7" s="51" customFormat="1" ht="15" thickBot="1">
      <c r="A432" s="110" t="s">
        <v>27</v>
      </c>
      <c r="B432" s="83">
        <f>SUM(B424:B431)</f>
        <v>45</v>
      </c>
      <c r="C432" s="110" t="str">
        <f xml:space="preserve"> setValueToTime(B432)</f>
        <v>3h45min</v>
      </c>
      <c r="D432" s="119"/>
      <c r="E432" s="235"/>
      <c r="F432" s="236"/>
      <c r="G432" s="50"/>
    </row>
    <row r="433" spans="1:7" s="58" customFormat="1" ht="15" thickBot="1">
      <c r="A433" s="78"/>
      <c r="B433" s="78"/>
      <c r="C433" s="78"/>
      <c r="D433" s="78"/>
      <c r="E433" s="78"/>
      <c r="F433" s="78"/>
      <c r="G433" s="57"/>
    </row>
    <row r="434" spans="1:7" s="46" customFormat="1" ht="30" customHeight="1" thickBot="1">
      <c r="A434" s="80" t="s">
        <v>11</v>
      </c>
      <c r="B434" s="162">
        <v>2</v>
      </c>
      <c r="C434" s="162"/>
      <c r="D434" s="81" t="s">
        <v>14</v>
      </c>
      <c r="E434" s="93">
        <v>44223</v>
      </c>
      <c r="F434" s="125" t="s">
        <v>75</v>
      </c>
      <c r="G434" s="45"/>
    </row>
    <row r="435" spans="1:7" s="46" customFormat="1" ht="30" customHeight="1" thickBot="1">
      <c r="A435" s="79" t="s">
        <v>4</v>
      </c>
      <c r="B435" s="149" t="s">
        <v>38</v>
      </c>
      <c r="C435" s="150"/>
      <c r="D435" s="79" t="s">
        <v>12</v>
      </c>
      <c r="E435" s="237" t="s">
        <v>13</v>
      </c>
      <c r="F435" s="238"/>
      <c r="G435" s="45"/>
    </row>
    <row r="436" spans="1:7" s="51" customFormat="1">
      <c r="A436" s="47" t="s">
        <v>58</v>
      </c>
      <c r="B436" s="48">
        <v>36</v>
      </c>
      <c r="C436" s="151"/>
      <c r="D436" s="165" t="s">
        <v>76</v>
      </c>
      <c r="E436" s="239"/>
      <c r="F436" s="240"/>
      <c r="G436" s="50"/>
    </row>
    <row r="437" spans="1:7" s="51" customFormat="1">
      <c r="A437" s="52" t="s">
        <v>57</v>
      </c>
      <c r="B437" s="53">
        <v>15</v>
      </c>
      <c r="C437" s="152"/>
      <c r="D437" s="166" t="s">
        <v>78</v>
      </c>
      <c r="E437" s="241"/>
      <c r="F437" s="242"/>
      <c r="G437" s="50"/>
    </row>
    <row r="438" spans="1:7" s="51" customFormat="1">
      <c r="A438" s="52"/>
      <c r="B438" s="53"/>
      <c r="C438" s="152" t="str">
        <f t="shared" ref="C438:C443" si="36" xml:space="preserve"> IF(B438="","",setValueToTime(B438))</f>
        <v/>
      </c>
      <c r="D438" s="54"/>
      <c r="E438" s="241"/>
      <c r="F438" s="242"/>
      <c r="G438" s="50"/>
    </row>
    <row r="439" spans="1:7" s="51" customFormat="1">
      <c r="A439" s="52"/>
      <c r="B439" s="53"/>
      <c r="C439" s="152" t="str">
        <f t="shared" si="36"/>
        <v/>
      </c>
      <c r="D439" s="54"/>
      <c r="E439" s="241"/>
      <c r="F439" s="242"/>
      <c r="G439" s="50"/>
    </row>
    <row r="440" spans="1:7" s="51" customFormat="1">
      <c r="A440" s="53"/>
      <c r="B440" s="53"/>
      <c r="C440" s="153" t="str">
        <f t="shared" si="36"/>
        <v/>
      </c>
      <c r="D440" s="54"/>
      <c r="E440" s="241"/>
      <c r="F440" s="242"/>
      <c r="G440" s="50"/>
    </row>
    <row r="441" spans="1:7" s="51" customFormat="1">
      <c r="A441" s="53"/>
      <c r="B441" s="53"/>
      <c r="C441" s="153" t="str">
        <f t="shared" si="36"/>
        <v/>
      </c>
      <c r="D441" s="54"/>
      <c r="E441" s="241"/>
      <c r="F441" s="242"/>
      <c r="G441" s="50"/>
    </row>
    <row r="442" spans="1:7" s="51" customFormat="1">
      <c r="A442" s="53"/>
      <c r="B442" s="53"/>
      <c r="C442" s="153" t="str">
        <f t="shared" si="36"/>
        <v/>
      </c>
      <c r="D442" s="54"/>
      <c r="E442" s="241"/>
      <c r="F442" s="242"/>
      <c r="G442" s="50"/>
    </row>
    <row r="443" spans="1:7" s="51" customFormat="1" ht="15" thickBot="1">
      <c r="A443" s="55"/>
      <c r="B443" s="55"/>
      <c r="C443" s="154" t="str">
        <f t="shared" si="36"/>
        <v/>
      </c>
      <c r="D443" s="56"/>
      <c r="E443" s="243"/>
      <c r="F443" s="244"/>
      <c r="G443" s="50"/>
    </row>
    <row r="444" spans="1:7" s="51" customFormat="1" ht="15" thickBot="1">
      <c r="A444" s="110" t="s">
        <v>27</v>
      </c>
      <c r="B444" s="83">
        <f>SUM(B436:B443)</f>
        <v>51</v>
      </c>
      <c r="C444" s="110" t="str">
        <f xml:space="preserve"> setValueToTime(B444)</f>
        <v>4h15min</v>
      </c>
      <c r="D444" s="119"/>
      <c r="E444" s="235"/>
      <c r="F444" s="236"/>
      <c r="G444" s="50"/>
    </row>
    <row r="445" spans="1:7" s="58" customFormat="1" ht="15" thickBot="1">
      <c r="A445" s="78"/>
      <c r="B445" s="78"/>
      <c r="C445" s="78"/>
      <c r="D445" s="78"/>
      <c r="E445" s="78"/>
      <c r="F445" s="78"/>
      <c r="G445" s="57"/>
    </row>
    <row r="446" spans="1:7" s="46" customFormat="1" ht="30" customHeight="1" thickBot="1">
      <c r="A446" s="80" t="s">
        <v>11</v>
      </c>
      <c r="B446" s="162">
        <v>1</v>
      </c>
      <c r="C446" s="162"/>
      <c r="D446" s="81" t="s">
        <v>14</v>
      </c>
      <c r="E446" s="93">
        <v>44223</v>
      </c>
      <c r="F446" s="125" t="s">
        <v>74</v>
      </c>
      <c r="G446" s="45"/>
    </row>
    <row r="447" spans="1:7" s="46" customFormat="1" ht="30" customHeight="1" thickBot="1">
      <c r="A447" s="79" t="s">
        <v>4</v>
      </c>
      <c r="B447" s="149" t="s">
        <v>38</v>
      </c>
      <c r="C447" s="150"/>
      <c r="D447" s="79" t="s">
        <v>12</v>
      </c>
      <c r="E447" s="237" t="s">
        <v>13</v>
      </c>
      <c r="F447" s="238"/>
      <c r="G447" s="45"/>
    </row>
    <row r="448" spans="1:7" s="51" customFormat="1">
      <c r="A448" s="47" t="s">
        <v>51</v>
      </c>
      <c r="B448" s="48">
        <v>12</v>
      </c>
      <c r="C448" s="152" t="str">
        <f xml:space="preserve"> IF(B448="","",setValueToTime(B448))</f>
        <v>1h</v>
      </c>
      <c r="D448" s="165" t="s">
        <v>68</v>
      </c>
      <c r="E448" s="239"/>
      <c r="F448" s="240"/>
      <c r="G448" s="50"/>
    </row>
    <row r="449" spans="1:7" s="51" customFormat="1">
      <c r="A449" s="52" t="s">
        <v>56</v>
      </c>
      <c r="B449" s="53">
        <v>9</v>
      </c>
      <c r="C449" s="152" t="str">
        <f xml:space="preserve"> IF(B449="","",setValueToTime(B449))</f>
        <v>0h45min</v>
      </c>
      <c r="D449" s="166" t="s">
        <v>70</v>
      </c>
      <c r="E449" s="241"/>
      <c r="F449" s="242"/>
      <c r="G449" s="50"/>
    </row>
    <row r="450" spans="1:7" s="51" customFormat="1" ht="27">
      <c r="A450" s="52" t="s">
        <v>64</v>
      </c>
      <c r="B450" s="53">
        <v>9</v>
      </c>
      <c r="C450" s="152" t="str">
        <f t="shared" ref="C450:C455" si="37" xml:space="preserve"> IF(B450="","",setValueToTime(B450))</f>
        <v>0h45min</v>
      </c>
      <c r="D450" s="166" t="s">
        <v>72</v>
      </c>
      <c r="E450" s="241"/>
      <c r="F450" s="242"/>
      <c r="G450" s="50"/>
    </row>
    <row r="451" spans="1:7" s="51" customFormat="1" ht="27">
      <c r="A451" s="52" t="s">
        <v>65</v>
      </c>
      <c r="B451" s="53">
        <v>9</v>
      </c>
      <c r="C451" s="152" t="str">
        <f t="shared" si="37"/>
        <v>0h45min</v>
      </c>
      <c r="D451" s="166" t="s">
        <v>73</v>
      </c>
      <c r="E451" s="241"/>
      <c r="F451" s="242"/>
      <c r="G451" s="50"/>
    </row>
    <row r="452" spans="1:7" s="51" customFormat="1">
      <c r="A452" s="53" t="s">
        <v>58</v>
      </c>
      <c r="B452" s="53">
        <v>12</v>
      </c>
      <c r="C452" s="153" t="str">
        <f t="shared" si="37"/>
        <v>1h</v>
      </c>
      <c r="D452" s="166" t="s">
        <v>77</v>
      </c>
      <c r="E452" s="241"/>
      <c r="F452" s="242"/>
      <c r="G452" s="50"/>
    </row>
    <row r="453" spans="1:7" s="51" customFormat="1">
      <c r="A453" s="53"/>
      <c r="B453" s="53"/>
      <c r="C453" s="153" t="str">
        <f t="shared" si="37"/>
        <v/>
      </c>
      <c r="D453" s="54"/>
      <c r="E453" s="241"/>
      <c r="F453" s="242"/>
      <c r="G453" s="50"/>
    </row>
    <row r="454" spans="1:7" s="51" customFormat="1">
      <c r="A454" s="53"/>
      <c r="B454" s="53"/>
      <c r="C454" s="153" t="str">
        <f t="shared" si="37"/>
        <v/>
      </c>
      <c r="D454" s="54"/>
      <c r="E454" s="241"/>
      <c r="F454" s="242"/>
      <c r="G454" s="50"/>
    </row>
    <row r="455" spans="1:7" s="51" customFormat="1" ht="15" thickBot="1">
      <c r="A455" s="55"/>
      <c r="B455" s="55"/>
      <c r="C455" s="154" t="str">
        <f t="shared" si="37"/>
        <v/>
      </c>
      <c r="D455" s="56"/>
      <c r="E455" s="243"/>
      <c r="F455" s="244"/>
      <c r="G455" s="50"/>
    </row>
    <row r="456" spans="1:7" s="51" customFormat="1" ht="15" thickBot="1">
      <c r="A456" s="110" t="s">
        <v>27</v>
      </c>
      <c r="B456" s="83">
        <f>SUM(B448:B455)</f>
        <v>51</v>
      </c>
      <c r="C456" s="110" t="str">
        <f xml:space="preserve"> setValueToTime(B456)</f>
        <v>4h15min</v>
      </c>
      <c r="D456" s="119"/>
      <c r="E456" s="235"/>
      <c r="F456" s="236"/>
      <c r="G456" s="50"/>
    </row>
    <row r="457" spans="1:7" s="58" customFormat="1">
      <c r="A457" s="78"/>
      <c r="B457" s="78"/>
      <c r="C457" s="78"/>
      <c r="D457" s="78"/>
      <c r="E457" s="78"/>
      <c r="F457" s="78"/>
      <c r="G457" s="57"/>
    </row>
  </sheetData>
  <sheetProtection formatRows="0" insertRows="0" insertHyperlinks="0" deleteRows="0" selectLockedCells="1"/>
  <mergeCells count="38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28:F228"/>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454:F454"/>
    <mergeCell ref="E455:F455"/>
    <mergeCell ref="E456:F456"/>
    <mergeCell ref="E435:F435"/>
    <mergeCell ref="E436:F436"/>
    <mergeCell ref="E437:F437"/>
    <mergeCell ref="E438:F438"/>
    <mergeCell ref="E439:F439"/>
    <mergeCell ref="E440:F440"/>
    <mergeCell ref="E447:F447"/>
    <mergeCell ref="E448:F448"/>
    <mergeCell ref="E449:F449"/>
    <mergeCell ref="E450:F450"/>
    <mergeCell ref="E451:F451"/>
    <mergeCell ref="E452:F452"/>
    <mergeCell ref="E441:F441"/>
    <mergeCell ref="E442:F442"/>
    <mergeCell ref="E443:F443"/>
    <mergeCell ref="E444:F444"/>
    <mergeCell ref="E453:F453"/>
    <mergeCell ref="E432:F432"/>
    <mergeCell ref="E416:F416"/>
    <mergeCell ref="E417:F417"/>
    <mergeCell ref="E418:F418"/>
    <mergeCell ref="E419:F419"/>
    <mergeCell ref="E420:F420"/>
    <mergeCell ref="E411:F411"/>
    <mergeCell ref="E412:F412"/>
    <mergeCell ref="E413:F413"/>
    <mergeCell ref="E414:F414"/>
    <mergeCell ref="E415:F415"/>
    <mergeCell ref="E423:F423"/>
    <mergeCell ref="E424:F424"/>
    <mergeCell ref="E425:F425"/>
    <mergeCell ref="E426:F426"/>
    <mergeCell ref="E427:F427"/>
    <mergeCell ref="E428:F428"/>
    <mergeCell ref="E429:F429"/>
    <mergeCell ref="E430:F430"/>
    <mergeCell ref="E431:F431"/>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111:F111"/>
    <mergeCell ref="E112:F112"/>
    <mergeCell ref="E113:F113"/>
    <mergeCell ref="E114:F114"/>
    <mergeCell ref="E115:F115"/>
    <mergeCell ref="E116:F116"/>
    <mergeCell ref="E117:F117"/>
    <mergeCell ref="E118:F118"/>
    <mergeCell ref="E119:F119"/>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27:F27"/>
    <mergeCell ref="E28:F28"/>
    <mergeCell ref="E29:F29"/>
    <mergeCell ref="E30:F30"/>
    <mergeCell ref="E31:F31"/>
    <mergeCell ref="E32:F32"/>
    <mergeCell ref="E33:F33"/>
    <mergeCell ref="E34:F34"/>
    <mergeCell ref="E35:F35"/>
  </mergeCells>
  <phoneticPr fontId="0" type="noConversion"/>
  <conditionalFormatting sqref="B456">
    <cfRule type="cellIs" dxfId="77" priority="38" operator="greaterThan">
      <formula>60</formula>
    </cfRule>
  </conditionalFormatting>
  <conditionalFormatting sqref="B444">
    <cfRule type="cellIs" dxfId="76" priority="37" operator="greaterThan">
      <formula>60</formula>
    </cfRule>
  </conditionalFormatting>
  <conditionalFormatting sqref="B432">
    <cfRule type="cellIs" dxfId="75" priority="36" operator="greaterThan">
      <formula>60</formula>
    </cfRule>
  </conditionalFormatting>
  <conditionalFormatting sqref="B420">
    <cfRule type="cellIs" dxfId="74" priority="35" operator="greaterThan">
      <formula>60</formula>
    </cfRule>
  </conditionalFormatting>
  <conditionalFormatting sqref="B408">
    <cfRule type="cellIs" dxfId="73" priority="34" operator="greaterThan">
      <formula>60</formula>
    </cfRule>
  </conditionalFormatting>
  <conditionalFormatting sqref="B396">
    <cfRule type="cellIs" dxfId="72" priority="33" operator="greaterThan">
      <formula>60</formula>
    </cfRule>
  </conditionalFormatting>
  <conditionalFormatting sqref="B384">
    <cfRule type="cellIs" dxfId="71" priority="32" operator="greaterThan">
      <formula>60</formula>
    </cfRule>
  </conditionalFormatting>
  <conditionalFormatting sqref="B372">
    <cfRule type="cellIs" dxfId="70" priority="31" operator="greaterThan">
      <formula>60</formula>
    </cfRule>
  </conditionalFormatting>
  <conditionalFormatting sqref="B360">
    <cfRule type="cellIs" dxfId="69" priority="30" operator="greaterThan">
      <formula>60</formula>
    </cfRule>
  </conditionalFormatting>
  <conditionalFormatting sqref="B348">
    <cfRule type="cellIs" dxfId="68" priority="29" operator="greaterThan">
      <formula>60</formula>
    </cfRule>
  </conditionalFormatting>
  <conditionalFormatting sqref="B336">
    <cfRule type="cellIs" dxfId="67" priority="28" operator="greaterThan">
      <formula>60</formula>
    </cfRule>
  </conditionalFormatting>
  <conditionalFormatting sqref="B324">
    <cfRule type="cellIs" dxfId="66" priority="27" operator="greaterThan">
      <formula>60</formula>
    </cfRule>
  </conditionalFormatting>
  <conditionalFormatting sqref="B312">
    <cfRule type="cellIs" dxfId="65" priority="26" operator="greaterThan">
      <formula>60</formula>
    </cfRule>
  </conditionalFormatting>
  <conditionalFormatting sqref="B300">
    <cfRule type="cellIs" dxfId="64" priority="25" operator="greaterThan">
      <formula>60</formula>
    </cfRule>
  </conditionalFormatting>
  <conditionalFormatting sqref="B288">
    <cfRule type="cellIs" dxfId="63" priority="24" operator="greaterThan">
      <formula>60</formula>
    </cfRule>
  </conditionalFormatting>
  <conditionalFormatting sqref="B276">
    <cfRule type="cellIs" dxfId="62" priority="23" operator="greaterThan">
      <formula>60</formula>
    </cfRule>
  </conditionalFormatting>
  <conditionalFormatting sqref="B264">
    <cfRule type="cellIs" dxfId="61" priority="22" operator="greaterThan">
      <formula>60</formula>
    </cfRule>
  </conditionalFormatting>
  <conditionalFormatting sqref="B252">
    <cfRule type="cellIs" dxfId="60" priority="21" operator="greaterThan">
      <formula>60</formula>
    </cfRule>
  </conditionalFormatting>
  <conditionalFormatting sqref="B240">
    <cfRule type="cellIs" dxfId="59" priority="20" operator="greaterThan">
      <formula>60</formula>
    </cfRule>
  </conditionalFormatting>
  <conditionalFormatting sqref="B228">
    <cfRule type="cellIs" dxfId="58" priority="19" operator="greaterThan">
      <formula>60</formula>
    </cfRule>
  </conditionalFormatting>
  <conditionalFormatting sqref="B216">
    <cfRule type="cellIs" dxfId="57" priority="18" operator="greaterThan">
      <formula>60</formula>
    </cfRule>
  </conditionalFormatting>
  <conditionalFormatting sqref="B204">
    <cfRule type="cellIs" dxfId="56" priority="17" operator="greaterThan">
      <formula>60</formula>
    </cfRule>
  </conditionalFormatting>
  <conditionalFormatting sqref="B192">
    <cfRule type="cellIs" dxfId="55" priority="16" operator="greaterThan">
      <formula>60</formula>
    </cfRule>
  </conditionalFormatting>
  <conditionalFormatting sqref="B180">
    <cfRule type="cellIs" dxfId="54" priority="15" operator="greaterThan">
      <formula>60</formula>
    </cfRule>
  </conditionalFormatting>
  <conditionalFormatting sqref="B168">
    <cfRule type="cellIs" dxfId="53" priority="14" operator="greaterThan">
      <formula>60</formula>
    </cfRule>
  </conditionalFormatting>
  <conditionalFormatting sqref="B156">
    <cfRule type="cellIs" dxfId="52" priority="13" operator="greaterThan">
      <formula>60</formula>
    </cfRule>
  </conditionalFormatting>
  <conditionalFormatting sqref="B144">
    <cfRule type="cellIs" dxfId="51" priority="12" operator="greaterThan">
      <formula>60</formula>
    </cfRule>
  </conditionalFormatting>
  <conditionalFormatting sqref="B132">
    <cfRule type="cellIs" dxfId="50" priority="11" operator="greaterThan">
      <formula>60</formula>
    </cfRule>
  </conditionalFormatting>
  <conditionalFormatting sqref="B120">
    <cfRule type="cellIs" dxfId="49" priority="10" operator="greaterThan">
      <formula>60</formula>
    </cfRule>
  </conditionalFormatting>
  <conditionalFormatting sqref="B108">
    <cfRule type="cellIs" dxfId="48" priority="9" operator="greaterThan">
      <formula>60</formula>
    </cfRule>
  </conditionalFormatting>
  <conditionalFormatting sqref="B96">
    <cfRule type="cellIs" dxfId="47" priority="8" operator="greaterThan">
      <formula>60</formula>
    </cfRule>
  </conditionalFormatting>
  <conditionalFormatting sqref="B84">
    <cfRule type="cellIs" dxfId="46" priority="7" operator="greaterThan">
      <formula>60</formula>
    </cfRule>
  </conditionalFormatting>
  <conditionalFormatting sqref="B72">
    <cfRule type="cellIs" dxfId="45" priority="6" operator="greaterThan">
      <formula>60</formula>
    </cfRule>
  </conditionalFormatting>
  <conditionalFormatting sqref="B60">
    <cfRule type="cellIs" dxfId="44" priority="5" operator="greaterThan">
      <formula>60</formula>
    </cfRule>
  </conditionalFormatting>
  <conditionalFormatting sqref="B48">
    <cfRule type="cellIs" dxfId="43" priority="4" operator="greaterThan">
      <formula>60</formula>
    </cfRule>
  </conditionalFormatting>
  <conditionalFormatting sqref="B36">
    <cfRule type="cellIs" dxfId="42" priority="3" operator="greaterThan">
      <formula>60</formula>
    </cfRule>
  </conditionalFormatting>
  <conditionalFormatting sqref="B24">
    <cfRule type="cellIs" dxfId="41" priority="2" operator="greaterThan">
      <formula>60</formula>
    </cfRule>
  </conditionalFormatting>
  <conditionalFormatting sqref="B12">
    <cfRule type="cellIs" dxfId="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36:B443 B448:B455 B424:B431 B412:B419 B400:B407 B388:B395 B376:B383 B364:B371 B352:B359 B340:B347 B328:B335 B316:B323 B304:B311 B292:B299 B280:B287 B268:B275 B256:B263 B244:B251 B232:B239 B220:B227 B208:B215 B196:B203 B184:B191 B172:B179 B160:B167 B148:B155 B136:B143 B124:B131 B112:B119 B88:B95 B100:B107 B76:B83 B64:B71 B52:B59 B40:B47 B28:B35 B16:B23 B4:B11">
      <formula1>0</formula1>
    </dataValidation>
    <dataValidation type="list" allowBlank="1" showInputMessage="1" showErrorMessage="1" sqref="A436:A443 A448:A455 A424:A431 A412:A419 A400:A407 A388:A395 A376:A383 A364:A371 A352:A359 A340:A347 A328:A335 A316:A323 A304:A311 A292:A299 A280:A287 A268:A275 A256:A263 A244:A251 A232:A239 A220:A227 A208:A215 A196:A203 A184:A191 A172:A179 A160:A167 A148:A155 A136:A143 A124:A131 A112:A119 A88:A95 A100:A107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57"/>
  <sheetViews>
    <sheetView showGridLines="0" zoomScaleNormal="100" zoomScaleSheetLayoutView="98" workbookViewId="0">
      <pane ySplit="1" topLeftCell="A2" activePane="bottomLeft" state="frozen"/>
      <selection pane="bottomLeft" activeCell="D10" sqref="D10"/>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38</v>
      </c>
      <c r="C2" s="163"/>
      <c r="D2" s="156" t="s">
        <v>14</v>
      </c>
      <c r="E2" s="157">
        <v>44266</v>
      </c>
      <c r="F2" s="158" t="s">
        <v>75</v>
      </c>
      <c r="G2" s="45"/>
    </row>
    <row r="3" spans="1:7" s="46" customFormat="1" ht="30" customHeight="1" thickBot="1">
      <c r="A3" s="77" t="s">
        <v>4</v>
      </c>
      <c r="B3" s="160" t="s">
        <v>38</v>
      </c>
      <c r="C3" s="159"/>
      <c r="D3" s="77" t="s">
        <v>12</v>
      </c>
      <c r="E3" s="247" t="s">
        <v>13</v>
      </c>
      <c r="F3" s="248"/>
      <c r="G3" s="45"/>
    </row>
    <row r="4" spans="1:7" s="51" customFormat="1">
      <c r="A4" s="47" t="s">
        <v>50</v>
      </c>
      <c r="B4" s="48">
        <v>33</v>
      </c>
      <c r="C4" s="151" t="str">
        <f xml:space="preserve"> IF(B4="","",setValueToTime(B4))</f>
        <v>2h45min</v>
      </c>
      <c r="D4" s="165" t="s">
        <v>223</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37</v>
      </c>
      <c r="C14" s="163"/>
      <c r="D14" s="156" t="s">
        <v>14</v>
      </c>
      <c r="E14" s="157">
        <v>44266</v>
      </c>
      <c r="F14" s="158" t="s">
        <v>74</v>
      </c>
      <c r="G14" s="45"/>
    </row>
    <row r="15" spans="1:7" s="46" customFormat="1" ht="30" customHeight="1" thickBot="1">
      <c r="A15" s="77" t="s">
        <v>4</v>
      </c>
      <c r="B15" s="160" t="s">
        <v>38</v>
      </c>
      <c r="C15" s="159"/>
      <c r="D15" s="77" t="s">
        <v>12</v>
      </c>
      <c r="E15" s="247" t="s">
        <v>13</v>
      </c>
      <c r="F15" s="248"/>
      <c r="G15" s="45"/>
    </row>
    <row r="16" spans="1:7" s="51" customFormat="1" ht="27">
      <c r="A16" s="47" t="s">
        <v>208</v>
      </c>
      <c r="B16" s="48">
        <v>24</v>
      </c>
      <c r="C16" s="151" t="str">
        <f xml:space="preserve"> IF(B16="","",setValueToTime(B16))</f>
        <v>2h</v>
      </c>
      <c r="D16" s="165" t="s">
        <v>221</v>
      </c>
      <c r="E16" s="239"/>
      <c r="F16" s="240"/>
      <c r="G16" s="50"/>
    </row>
    <row r="17" spans="1:7" s="51" customFormat="1">
      <c r="A17" s="52" t="s">
        <v>50</v>
      </c>
      <c r="B17" s="53">
        <v>21</v>
      </c>
      <c r="C17" s="152" t="str">
        <f t="shared" ref="C17:C23" si="1" xml:space="preserve"> IF(B17="","",setValueToTime(B17))</f>
        <v>1h45min</v>
      </c>
      <c r="D17" s="166" t="s">
        <v>222</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45</v>
      </c>
      <c r="C24" s="161" t="str">
        <f xml:space="preserve"> setValueToTime(B24)</f>
        <v>3h45min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36</v>
      </c>
      <c r="C26" s="163"/>
      <c r="D26" s="156" t="s">
        <v>14</v>
      </c>
      <c r="E26" s="157">
        <v>44265</v>
      </c>
      <c r="F26" s="158" t="s">
        <v>75</v>
      </c>
      <c r="G26" s="45"/>
    </row>
    <row r="27" spans="1:7" s="46" customFormat="1" ht="30" customHeight="1" thickBot="1">
      <c r="A27" s="77" t="s">
        <v>4</v>
      </c>
      <c r="B27" s="160" t="s">
        <v>38</v>
      </c>
      <c r="C27" s="159"/>
      <c r="D27" s="77" t="s">
        <v>12</v>
      </c>
      <c r="E27" s="247" t="s">
        <v>13</v>
      </c>
      <c r="F27" s="248"/>
      <c r="G27" s="45"/>
    </row>
    <row r="28" spans="1:7" s="51" customFormat="1" ht="27">
      <c r="A28" s="47" t="s">
        <v>208</v>
      </c>
      <c r="B28" s="48">
        <v>33</v>
      </c>
      <c r="C28" s="151" t="str">
        <f xml:space="preserve"> IF(B28="","",setValueToTime(B28))</f>
        <v>2h45min</v>
      </c>
      <c r="D28" s="165" t="s">
        <v>219</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35</v>
      </c>
      <c r="C38" s="163"/>
      <c r="D38" s="156" t="s">
        <v>14</v>
      </c>
      <c r="E38" s="157" t="s">
        <v>217</v>
      </c>
      <c r="F38" s="158" t="s">
        <v>74</v>
      </c>
      <c r="G38" s="45"/>
    </row>
    <row r="39" spans="1:7" s="46" customFormat="1" ht="30" customHeight="1" thickBot="1">
      <c r="A39" s="77" t="s">
        <v>4</v>
      </c>
      <c r="B39" s="160" t="s">
        <v>38</v>
      </c>
      <c r="C39" s="159"/>
      <c r="D39" s="77" t="s">
        <v>12</v>
      </c>
      <c r="E39" s="247" t="s">
        <v>13</v>
      </c>
      <c r="F39" s="248"/>
      <c r="G39" s="45"/>
    </row>
    <row r="40" spans="1:7" s="51" customFormat="1" ht="40.5">
      <c r="A40" s="47" t="s">
        <v>208</v>
      </c>
      <c r="B40" s="48">
        <v>42</v>
      </c>
      <c r="C40" s="151" t="str">
        <f xml:space="preserve"> IF(B40="","",setValueToTime(B40))</f>
        <v>3h30min</v>
      </c>
      <c r="D40" s="165" t="s">
        <v>218</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34</v>
      </c>
      <c r="C50" s="163"/>
      <c r="D50" s="156" t="s">
        <v>14</v>
      </c>
      <c r="E50" s="157" t="s">
        <v>215</v>
      </c>
      <c r="F50" s="158" t="s">
        <v>74</v>
      </c>
      <c r="G50" s="45"/>
    </row>
    <row r="51" spans="1:7" s="46" customFormat="1" ht="30" customHeight="1" thickBot="1">
      <c r="A51" s="77" t="s">
        <v>4</v>
      </c>
      <c r="B51" s="160" t="s">
        <v>38</v>
      </c>
      <c r="C51" s="159"/>
      <c r="D51" s="77" t="s">
        <v>12</v>
      </c>
      <c r="E51" s="247" t="s">
        <v>13</v>
      </c>
      <c r="F51" s="248"/>
      <c r="G51" s="45"/>
    </row>
    <row r="52" spans="1:7" s="51" customFormat="1">
      <c r="A52" s="47" t="s">
        <v>208</v>
      </c>
      <c r="B52" s="48">
        <v>33</v>
      </c>
      <c r="C52" s="151" t="str">
        <f xml:space="preserve"> IF(B52="","",setValueToTime(B52))</f>
        <v>2h45min</v>
      </c>
      <c r="D52" s="165" t="s">
        <v>216</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33</v>
      </c>
      <c r="C62" s="163"/>
      <c r="D62" s="156" t="s">
        <v>14</v>
      </c>
      <c r="E62" s="157" t="s">
        <v>206</v>
      </c>
      <c r="F62" s="158" t="s">
        <v>75</v>
      </c>
      <c r="G62" s="45"/>
    </row>
    <row r="63" spans="1:7" s="46" customFormat="1" ht="30" customHeight="1" thickBot="1">
      <c r="A63" s="77" t="s">
        <v>4</v>
      </c>
      <c r="B63" s="160" t="s">
        <v>38</v>
      </c>
      <c r="C63" s="159"/>
      <c r="D63" s="77" t="s">
        <v>12</v>
      </c>
      <c r="E63" s="247" t="s">
        <v>13</v>
      </c>
      <c r="F63" s="248"/>
      <c r="G63" s="45"/>
    </row>
    <row r="64" spans="1:7" s="51" customFormat="1" ht="27">
      <c r="A64" s="47" t="s">
        <v>209</v>
      </c>
      <c r="B64" s="48">
        <v>12</v>
      </c>
      <c r="C64" s="151" t="str">
        <f xml:space="preserve"> IF(B64="","",setValueToTime(B64))</f>
        <v>1h</v>
      </c>
      <c r="D64" s="165" t="s">
        <v>210</v>
      </c>
      <c r="E64" s="239"/>
      <c r="F64" s="240"/>
      <c r="G64" s="50"/>
    </row>
    <row r="65" spans="1:7" s="51" customFormat="1" ht="54">
      <c r="A65" s="52" t="s">
        <v>208</v>
      </c>
      <c r="B65" s="53">
        <v>21</v>
      </c>
      <c r="C65" s="152" t="str">
        <f t="shared" ref="C65:C71" si="5" xml:space="preserve"> IF(B65="","",setValueToTime(B65))</f>
        <v>1h45min</v>
      </c>
      <c r="D65" s="166" t="s">
        <v>211</v>
      </c>
      <c r="E65" s="241"/>
      <c r="F65" s="242"/>
      <c r="G65" s="50"/>
    </row>
    <row r="66" spans="1:7" s="51" customFormat="1">
      <c r="A66" s="52" t="s">
        <v>15</v>
      </c>
      <c r="B66" s="53">
        <v>3</v>
      </c>
      <c r="C66" s="152" t="str">
        <f t="shared" si="5"/>
        <v>0h15min</v>
      </c>
      <c r="D66" s="166" t="s">
        <v>106</v>
      </c>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32</v>
      </c>
      <c r="C74" s="163"/>
      <c r="D74" s="156" t="s">
        <v>14</v>
      </c>
      <c r="E74" s="157" t="s">
        <v>206</v>
      </c>
      <c r="F74" s="158" t="s">
        <v>74</v>
      </c>
      <c r="G74" s="45"/>
    </row>
    <row r="75" spans="1:7" s="46" customFormat="1" ht="30" customHeight="1" thickBot="1">
      <c r="A75" s="77" t="s">
        <v>4</v>
      </c>
      <c r="B75" s="160" t="s">
        <v>38</v>
      </c>
      <c r="C75" s="159"/>
      <c r="D75" s="77" t="s">
        <v>12</v>
      </c>
      <c r="E75" s="247" t="s">
        <v>13</v>
      </c>
      <c r="F75" s="248"/>
      <c r="G75" s="45"/>
    </row>
    <row r="76" spans="1:7" s="51" customFormat="1" ht="67.5">
      <c r="A76" s="47" t="s">
        <v>66</v>
      </c>
      <c r="B76" s="48">
        <v>33</v>
      </c>
      <c r="C76" s="151" t="str">
        <f xml:space="preserve"> IF(B76="","",setValueToTime(B76))</f>
        <v>2h45min</v>
      </c>
      <c r="D76" s="165" t="s">
        <v>207</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31</v>
      </c>
      <c r="C86" s="163"/>
      <c r="D86" s="156" t="s">
        <v>14</v>
      </c>
      <c r="E86" s="157" t="s">
        <v>199</v>
      </c>
      <c r="F86" s="158" t="s">
        <v>75</v>
      </c>
      <c r="G86" s="45"/>
    </row>
    <row r="87" spans="1:7" s="46" customFormat="1" ht="30" customHeight="1" thickBot="1">
      <c r="A87" s="77" t="s">
        <v>4</v>
      </c>
      <c r="B87" s="160" t="s">
        <v>38</v>
      </c>
      <c r="C87" s="159"/>
      <c r="D87" s="77" t="s">
        <v>12</v>
      </c>
      <c r="E87" s="247" t="s">
        <v>13</v>
      </c>
      <c r="F87" s="248"/>
      <c r="G87" s="45"/>
    </row>
    <row r="88" spans="1:7" s="51" customFormat="1">
      <c r="A88" s="47" t="s">
        <v>63</v>
      </c>
      <c r="B88" s="48">
        <v>12</v>
      </c>
      <c r="C88" s="151" t="str">
        <f xml:space="preserve"> IF(B88="","",setValueToTime(B88))</f>
        <v>1h</v>
      </c>
      <c r="D88" s="165" t="s">
        <v>201</v>
      </c>
      <c r="E88" s="239"/>
      <c r="F88" s="240"/>
      <c r="G88" s="50"/>
    </row>
    <row r="89" spans="1:7" s="51" customFormat="1" ht="40.5">
      <c r="A89" s="52" t="s">
        <v>58</v>
      </c>
      <c r="B89" s="53">
        <v>12</v>
      </c>
      <c r="C89" s="152" t="str">
        <f t="shared" ref="C89:C95" si="7" xml:space="preserve"> IF(B89="","",setValueToTime(B89))</f>
        <v>1h</v>
      </c>
      <c r="D89" s="166" t="s">
        <v>202</v>
      </c>
      <c r="E89" s="241"/>
      <c r="F89" s="242"/>
      <c r="G89" s="50"/>
    </row>
    <row r="90" spans="1:7" s="51" customFormat="1">
      <c r="A90" s="52" t="s">
        <v>60</v>
      </c>
      <c r="B90" s="53">
        <v>9</v>
      </c>
      <c r="C90" s="152" t="str">
        <f t="shared" si="7"/>
        <v>0h45min</v>
      </c>
      <c r="D90" s="166" t="s">
        <v>203</v>
      </c>
      <c r="E90" s="241"/>
      <c r="F90" s="242"/>
      <c r="G90" s="50"/>
    </row>
    <row r="91" spans="1:7" s="51" customFormat="1">
      <c r="A91" s="52" t="s">
        <v>15</v>
      </c>
      <c r="B91" s="53">
        <v>3</v>
      </c>
      <c r="C91" s="152" t="str">
        <f t="shared" si="7"/>
        <v>0h15min</v>
      </c>
      <c r="D91" s="166" t="s">
        <v>106</v>
      </c>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30</v>
      </c>
      <c r="C98" s="163"/>
      <c r="D98" s="156" t="s">
        <v>14</v>
      </c>
      <c r="E98" s="157" t="s">
        <v>199</v>
      </c>
      <c r="F98" s="158" t="s">
        <v>74</v>
      </c>
      <c r="G98" s="45"/>
    </row>
    <row r="99" spans="1:7" s="46" customFormat="1" ht="30" customHeight="1" thickBot="1">
      <c r="A99" s="77" t="s">
        <v>4</v>
      </c>
      <c r="B99" s="160" t="s">
        <v>38</v>
      </c>
      <c r="C99" s="159"/>
      <c r="D99" s="77" t="s">
        <v>12</v>
      </c>
      <c r="E99" s="247" t="s">
        <v>13</v>
      </c>
      <c r="F99" s="248"/>
      <c r="G99" s="45"/>
    </row>
    <row r="100" spans="1:7" s="51" customFormat="1" ht="27">
      <c r="A100" s="47" t="s">
        <v>63</v>
      </c>
      <c r="B100" s="48">
        <v>42</v>
      </c>
      <c r="C100" s="151" t="str">
        <f xml:space="preserve"> IF(B100="","",setValueToTime(B100))</f>
        <v>3h30min</v>
      </c>
      <c r="D100" s="165" t="s">
        <v>200</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27.75" thickBot="1">
      <c r="A108" s="161" t="s">
        <v>27</v>
      </c>
      <c r="B108" s="82">
        <f>SUM(B100:B107)</f>
        <v>45</v>
      </c>
      <c r="C108" s="161" t="str">
        <f xml:space="preserve"> setValueToTime(B108)</f>
        <v>3h45min</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29</v>
      </c>
      <c r="C110" s="163"/>
      <c r="D110" s="156" t="s">
        <v>14</v>
      </c>
      <c r="E110" s="157" t="s">
        <v>192</v>
      </c>
      <c r="F110" s="158" t="s">
        <v>75</v>
      </c>
      <c r="G110" s="45"/>
    </row>
    <row r="111" spans="1:7" s="46" customFormat="1" ht="30" customHeight="1" thickBot="1">
      <c r="A111" s="77" t="s">
        <v>4</v>
      </c>
      <c r="B111" s="160" t="s">
        <v>38</v>
      </c>
      <c r="C111" s="159"/>
      <c r="D111" s="77" t="s">
        <v>12</v>
      </c>
      <c r="E111" s="247" t="s">
        <v>13</v>
      </c>
      <c r="F111" s="248"/>
      <c r="G111" s="45"/>
    </row>
    <row r="112" spans="1:7" s="51" customFormat="1" ht="27">
      <c r="A112" s="47" t="s">
        <v>63</v>
      </c>
      <c r="B112" s="48">
        <v>15</v>
      </c>
      <c r="C112" s="151" t="str">
        <f xml:space="preserve"> IF(B112="","",setValueToTime(B112))</f>
        <v>1h15min</v>
      </c>
      <c r="D112" s="165" t="s">
        <v>195</v>
      </c>
      <c r="E112" s="239"/>
      <c r="F112" s="240"/>
      <c r="G112" s="50"/>
    </row>
    <row r="113" spans="1:7" s="51" customFormat="1">
      <c r="A113" s="52" t="s">
        <v>66</v>
      </c>
      <c r="B113" s="53">
        <v>18</v>
      </c>
      <c r="C113" s="152" t="str">
        <f t="shared" ref="C113:C119" si="9" xml:space="preserve"> IF(B113="","",setValueToTime(B113))</f>
        <v>1h30min</v>
      </c>
      <c r="D113" s="166" t="s">
        <v>196</v>
      </c>
      <c r="E113" s="241"/>
      <c r="F113" s="242"/>
      <c r="G113" s="50"/>
    </row>
    <row r="114" spans="1:7" s="51" customFormat="1">
      <c r="A114" s="52" t="s">
        <v>15</v>
      </c>
      <c r="B114" s="53">
        <v>3</v>
      </c>
      <c r="C114" s="152" t="str">
        <f t="shared" si="9"/>
        <v>0h15min</v>
      </c>
      <c r="D114" s="166" t="s">
        <v>106</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28</v>
      </c>
      <c r="C122" s="163"/>
      <c r="D122" s="156" t="s">
        <v>14</v>
      </c>
      <c r="E122" s="157" t="s">
        <v>192</v>
      </c>
      <c r="F122" s="158" t="s">
        <v>74</v>
      </c>
      <c r="G122" s="45"/>
    </row>
    <row r="123" spans="1:7" s="46" customFormat="1" ht="30" customHeight="1" thickBot="1">
      <c r="A123" s="77" t="s">
        <v>4</v>
      </c>
      <c r="B123" s="160" t="s">
        <v>38</v>
      </c>
      <c r="C123" s="159"/>
      <c r="D123" s="77" t="s">
        <v>12</v>
      </c>
      <c r="E123" s="247" t="s">
        <v>13</v>
      </c>
      <c r="F123" s="248"/>
      <c r="G123" s="45"/>
    </row>
    <row r="124" spans="1:7" s="51" customFormat="1" ht="40.5">
      <c r="A124" s="47" t="s">
        <v>117</v>
      </c>
      <c r="B124" s="48">
        <v>24</v>
      </c>
      <c r="C124" s="151" t="str">
        <f xml:space="preserve"> IF(B124="","",setValueToTime(B124))</f>
        <v>2h</v>
      </c>
      <c r="D124" s="165" t="s">
        <v>193</v>
      </c>
      <c r="E124" s="239"/>
      <c r="F124" s="240"/>
      <c r="G124" s="50"/>
    </row>
    <row r="125" spans="1:7" s="51" customFormat="1" ht="40.5">
      <c r="A125" s="52" t="s">
        <v>63</v>
      </c>
      <c r="B125" s="53">
        <v>18</v>
      </c>
      <c r="C125" s="152" t="str">
        <f t="shared" ref="C125:C131" si="10" xml:space="preserve"> IF(B125="","",setValueToTime(B125))</f>
        <v>1h30min</v>
      </c>
      <c r="D125" s="166" t="s">
        <v>194</v>
      </c>
      <c r="E125" s="250"/>
      <c r="F125" s="242"/>
      <c r="G125" s="50"/>
    </row>
    <row r="126" spans="1:7" s="51" customFormat="1">
      <c r="A126" s="52" t="s">
        <v>15</v>
      </c>
      <c r="B126" s="53">
        <v>3</v>
      </c>
      <c r="C126" s="152" t="str">
        <f t="shared" si="10"/>
        <v>0h15min</v>
      </c>
      <c r="D126" s="166" t="s">
        <v>106</v>
      </c>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27.75" thickBot="1">
      <c r="A132" s="161" t="s">
        <v>27</v>
      </c>
      <c r="B132" s="82">
        <f>SUM(B124:B131)</f>
        <v>45</v>
      </c>
      <c r="C132" s="161" t="str">
        <f xml:space="preserve"> setValueToTime(B132)</f>
        <v>3h45min</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27</v>
      </c>
      <c r="C134" s="163"/>
      <c r="D134" s="156" t="s">
        <v>14</v>
      </c>
      <c r="E134" s="157">
        <v>44256</v>
      </c>
      <c r="F134" s="158" t="s">
        <v>74</v>
      </c>
      <c r="G134" s="45"/>
    </row>
    <row r="135" spans="1:7" s="46" customFormat="1" ht="30" customHeight="1" thickBot="1">
      <c r="A135" s="77" t="s">
        <v>4</v>
      </c>
      <c r="B135" s="160" t="s">
        <v>38</v>
      </c>
      <c r="C135" s="159"/>
      <c r="D135" s="77" t="s">
        <v>12</v>
      </c>
      <c r="E135" s="247" t="s">
        <v>13</v>
      </c>
      <c r="F135" s="248"/>
      <c r="G135" s="45"/>
    </row>
    <row r="136" spans="1:7" s="51" customFormat="1" ht="27">
      <c r="A136" s="47" t="s">
        <v>117</v>
      </c>
      <c r="B136" s="48">
        <v>15</v>
      </c>
      <c r="C136" s="151" t="str">
        <f xml:space="preserve"> IF(B136="","",setValueToTime(B136))</f>
        <v>1h15min</v>
      </c>
      <c r="D136" s="165" t="s">
        <v>190</v>
      </c>
      <c r="E136" s="239"/>
      <c r="F136" s="240"/>
      <c r="G136" s="50"/>
    </row>
    <row r="137" spans="1:7" s="51" customFormat="1" ht="27">
      <c r="A137" s="52" t="s">
        <v>66</v>
      </c>
      <c r="B137" s="53">
        <v>18</v>
      </c>
      <c r="C137" s="152" t="str">
        <f t="shared" ref="C137:C143" si="11" xml:space="preserve"> IF(B137="","",setValueToTime(B137))</f>
        <v>1h30min</v>
      </c>
      <c r="D137" s="166" t="s">
        <v>191</v>
      </c>
      <c r="E137" s="241"/>
      <c r="F137" s="242"/>
      <c r="G137" s="50"/>
    </row>
    <row r="138" spans="1:7" s="51" customFormat="1">
      <c r="A138" s="52" t="s">
        <v>15</v>
      </c>
      <c r="B138" s="53">
        <v>3</v>
      </c>
      <c r="C138" s="152" t="str">
        <f t="shared" si="11"/>
        <v>0h15min</v>
      </c>
      <c r="D138" s="166" t="s">
        <v>106</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26</v>
      </c>
      <c r="C146" s="163"/>
      <c r="D146" s="156" t="s">
        <v>14</v>
      </c>
      <c r="E146" s="157" t="s">
        <v>184</v>
      </c>
      <c r="F146" s="158" t="s">
        <v>75</v>
      </c>
      <c r="G146" s="45"/>
    </row>
    <row r="147" spans="1:7" s="46" customFormat="1" ht="30" customHeight="1" thickBot="1">
      <c r="A147" s="77" t="s">
        <v>4</v>
      </c>
      <c r="B147" s="160" t="s">
        <v>38</v>
      </c>
      <c r="C147" s="159"/>
      <c r="D147" s="77" t="s">
        <v>12</v>
      </c>
      <c r="E147" s="247" t="s">
        <v>13</v>
      </c>
      <c r="F147" s="248"/>
      <c r="G147" s="45"/>
    </row>
    <row r="148" spans="1:7" s="51" customFormat="1" ht="54">
      <c r="A148" s="47" t="s">
        <v>117</v>
      </c>
      <c r="B148" s="48">
        <v>33</v>
      </c>
      <c r="C148" s="151" t="str">
        <f xml:space="preserve"> IF(B148="","",setValueToTime(B148))</f>
        <v>2h45min</v>
      </c>
      <c r="D148" s="165" t="s">
        <v>186</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25</v>
      </c>
      <c r="C158" s="163"/>
      <c r="D158" s="156" t="s">
        <v>14</v>
      </c>
      <c r="E158" s="157" t="s">
        <v>184</v>
      </c>
      <c r="F158" s="158" t="s">
        <v>74</v>
      </c>
      <c r="G158" s="45"/>
    </row>
    <row r="159" spans="1:7" s="46" customFormat="1" ht="30" customHeight="1" thickBot="1">
      <c r="A159" s="77" t="s">
        <v>4</v>
      </c>
      <c r="B159" s="160" t="s">
        <v>38</v>
      </c>
      <c r="C159" s="159"/>
      <c r="D159" s="77" t="s">
        <v>12</v>
      </c>
      <c r="E159" s="247" t="s">
        <v>13</v>
      </c>
      <c r="F159" s="248"/>
      <c r="G159" s="45"/>
    </row>
    <row r="160" spans="1:7" s="51" customFormat="1" ht="108">
      <c r="A160" s="47" t="s">
        <v>117</v>
      </c>
      <c r="B160" s="48">
        <v>33</v>
      </c>
      <c r="C160" s="151" t="str">
        <f xml:space="preserve"> IF(B160="","",setValueToTime(B160))</f>
        <v>2h45min</v>
      </c>
      <c r="D160" s="165" t="s">
        <v>185</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24</v>
      </c>
      <c r="C170" s="163"/>
      <c r="D170" s="156" t="s">
        <v>14</v>
      </c>
      <c r="E170" s="157" t="s">
        <v>178</v>
      </c>
      <c r="F170" s="158" t="s">
        <v>75</v>
      </c>
      <c r="G170" s="45"/>
    </row>
    <row r="171" spans="1:7" s="46" customFormat="1" ht="30" customHeight="1" thickBot="1">
      <c r="A171" s="77" t="s">
        <v>4</v>
      </c>
      <c r="B171" s="160" t="s">
        <v>38</v>
      </c>
      <c r="C171" s="159"/>
      <c r="D171" s="77" t="s">
        <v>12</v>
      </c>
      <c r="E171" s="247" t="s">
        <v>13</v>
      </c>
      <c r="F171" s="248"/>
      <c r="G171" s="45"/>
    </row>
    <row r="172" spans="1:7" s="51" customFormat="1" ht="27">
      <c r="A172" s="47" t="s">
        <v>117</v>
      </c>
      <c r="B172" s="48">
        <v>16</v>
      </c>
      <c r="C172" s="151" t="str">
        <f xml:space="preserve"> IF(B172="","",setValueToTime(B172))</f>
        <v>1h20min</v>
      </c>
      <c r="D172" s="165" t="s">
        <v>182</v>
      </c>
      <c r="E172" s="239"/>
      <c r="F172" s="240"/>
      <c r="G172" s="50"/>
    </row>
    <row r="173" spans="1:7" s="51" customFormat="1" ht="40.5">
      <c r="A173" s="52" t="s">
        <v>66</v>
      </c>
      <c r="B173" s="53">
        <v>17</v>
      </c>
      <c r="C173" s="152" t="str">
        <f t="shared" ref="C173:C179" si="14" xml:space="preserve"> IF(B173="","",setValueToTime(B173))</f>
        <v>1h25min</v>
      </c>
      <c r="D173" s="166" t="s">
        <v>183</v>
      </c>
      <c r="E173" s="241"/>
      <c r="F173" s="242"/>
      <c r="G173" s="50"/>
    </row>
    <row r="174" spans="1:7" s="51" customFormat="1">
      <c r="A174" s="52" t="s">
        <v>15</v>
      </c>
      <c r="B174" s="53">
        <v>3</v>
      </c>
      <c r="C174" s="152" t="str">
        <f t="shared" si="14"/>
        <v>0h15min</v>
      </c>
      <c r="D174" s="166" t="s">
        <v>151</v>
      </c>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23</v>
      </c>
      <c r="C182" s="163"/>
      <c r="D182" s="156" t="s">
        <v>14</v>
      </c>
      <c r="E182" s="157" t="s">
        <v>178</v>
      </c>
      <c r="F182" s="158" t="s">
        <v>74</v>
      </c>
      <c r="G182" s="45"/>
    </row>
    <row r="183" spans="1:7" s="46" customFormat="1" ht="30" customHeight="1" thickBot="1">
      <c r="A183" s="77" t="s">
        <v>4</v>
      </c>
      <c r="B183" s="160" t="s">
        <v>38</v>
      </c>
      <c r="C183" s="159"/>
      <c r="D183" s="77" t="s">
        <v>12</v>
      </c>
      <c r="E183" s="247" t="s">
        <v>13</v>
      </c>
      <c r="F183" s="248"/>
      <c r="G183" s="45"/>
    </row>
    <row r="184" spans="1:7" s="51" customFormat="1" ht="40.5">
      <c r="A184" s="47" t="s">
        <v>117</v>
      </c>
      <c r="B184" s="48">
        <v>42</v>
      </c>
      <c r="C184" s="151" t="str">
        <f xml:space="preserve"> IF(B184="","",setValueToTime(B184))</f>
        <v>3h30min</v>
      </c>
      <c r="D184" s="165" t="s">
        <v>181</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27.75" thickBot="1">
      <c r="A192" s="161" t="s">
        <v>27</v>
      </c>
      <c r="B192" s="82">
        <f>SUM(B184:B191)</f>
        <v>45</v>
      </c>
      <c r="C192" s="161" t="str">
        <f xml:space="preserve"> setValueToTime(B192)</f>
        <v>3h45min</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22</v>
      </c>
      <c r="C194" s="163"/>
      <c r="D194" s="156" t="s">
        <v>14</v>
      </c>
      <c r="E194" s="157" t="s">
        <v>177</v>
      </c>
      <c r="F194" s="158" t="s">
        <v>75</v>
      </c>
      <c r="G194" s="45"/>
    </row>
    <row r="195" spans="1:7" s="46" customFormat="1" ht="30" customHeight="1" thickBot="1">
      <c r="A195" s="77" t="s">
        <v>4</v>
      </c>
      <c r="B195" s="160" t="s">
        <v>38</v>
      </c>
      <c r="C195" s="159"/>
      <c r="D195" s="77" t="s">
        <v>12</v>
      </c>
      <c r="E195" s="247" t="s">
        <v>13</v>
      </c>
      <c r="F195" s="248"/>
      <c r="G195" s="45"/>
    </row>
    <row r="196" spans="1:7" s="51" customFormat="1">
      <c r="A196" s="47" t="s">
        <v>66</v>
      </c>
      <c r="B196" s="48">
        <v>18</v>
      </c>
      <c r="C196" s="151" t="str">
        <f xml:space="preserve"> IF(B196="","",setValueToTime(B196))</f>
        <v>1h30min</v>
      </c>
      <c r="D196" s="165" t="s">
        <v>179</v>
      </c>
      <c r="E196" s="239"/>
      <c r="F196" s="240"/>
      <c r="G196" s="50"/>
    </row>
    <row r="197" spans="1:7" s="51" customFormat="1" ht="27">
      <c r="A197" s="52" t="s">
        <v>117</v>
      </c>
      <c r="B197" s="53">
        <v>15</v>
      </c>
      <c r="C197" s="152" t="str">
        <f t="shared" ref="C197:C203" si="16" xml:space="preserve"> IF(B197="","",setValueToTime(B197))</f>
        <v>1h15min</v>
      </c>
      <c r="D197" s="166" t="s">
        <v>180</v>
      </c>
      <c r="E197" s="241"/>
      <c r="F197" s="242"/>
      <c r="G197" s="50"/>
    </row>
    <row r="198" spans="1:7" s="51" customFormat="1">
      <c r="A198" s="52" t="s">
        <v>15</v>
      </c>
      <c r="B198" s="53">
        <v>3</v>
      </c>
      <c r="C198" s="152" t="str">
        <f t="shared" si="16"/>
        <v>0h15min</v>
      </c>
      <c r="D198" s="166" t="s">
        <v>151</v>
      </c>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21</v>
      </c>
      <c r="C206" s="163"/>
      <c r="D206" s="156" t="s">
        <v>14</v>
      </c>
      <c r="E206" s="157">
        <v>44244</v>
      </c>
      <c r="F206" s="158" t="s">
        <v>74</v>
      </c>
      <c r="G206" s="45"/>
    </row>
    <row r="207" spans="1:7" s="46" customFormat="1" ht="30" customHeight="1" thickBot="1">
      <c r="A207" s="77" t="s">
        <v>4</v>
      </c>
      <c r="B207" s="160" t="s">
        <v>38</v>
      </c>
      <c r="C207" s="159"/>
      <c r="D207" s="77" t="s">
        <v>12</v>
      </c>
      <c r="E207" s="247" t="s">
        <v>13</v>
      </c>
      <c r="F207" s="248"/>
      <c r="G207" s="45"/>
    </row>
    <row r="208" spans="1:7" s="51" customFormat="1" ht="67.5">
      <c r="A208" s="47" t="s">
        <v>165</v>
      </c>
      <c r="B208" s="48">
        <v>42</v>
      </c>
      <c r="C208" s="151" t="str">
        <f xml:space="preserve"> IF(B208="","",setValueToTime(B208))</f>
        <v>3h30min</v>
      </c>
      <c r="D208" s="165" t="s">
        <v>172</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27.75" thickBot="1">
      <c r="A216" s="161" t="s">
        <v>27</v>
      </c>
      <c r="B216" s="82">
        <f>SUM(B208:B215)</f>
        <v>45</v>
      </c>
      <c r="C216" s="161" t="str">
        <f xml:space="preserve"> setValueToTime(B216)</f>
        <v>3h45min</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20</v>
      </c>
      <c r="C218" s="163"/>
      <c r="D218" s="156" t="s">
        <v>14</v>
      </c>
      <c r="E218" s="157" t="s">
        <v>153</v>
      </c>
      <c r="F218" s="158" t="s">
        <v>75</v>
      </c>
      <c r="G218" s="45"/>
    </row>
    <row r="219" spans="1:7" s="46" customFormat="1" ht="30" customHeight="1" thickBot="1">
      <c r="A219" s="77" t="s">
        <v>4</v>
      </c>
      <c r="B219" s="160" t="s">
        <v>38</v>
      </c>
      <c r="C219" s="159"/>
      <c r="D219" s="77" t="s">
        <v>12</v>
      </c>
      <c r="E219" s="247" t="s">
        <v>13</v>
      </c>
      <c r="F219" s="248"/>
      <c r="G219" s="45"/>
    </row>
    <row r="220" spans="1:7" s="51" customFormat="1" ht="27">
      <c r="A220" s="47" t="s">
        <v>165</v>
      </c>
      <c r="B220" s="48">
        <v>33</v>
      </c>
      <c r="C220" s="151" t="str">
        <f xml:space="preserve"> IF(B220="","",setValueToTime(B220))</f>
        <v>2h45min</v>
      </c>
      <c r="D220" s="165" t="s">
        <v>168</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19</v>
      </c>
      <c r="C230" s="163"/>
      <c r="D230" s="156" t="s">
        <v>14</v>
      </c>
      <c r="E230" s="157" t="s">
        <v>153</v>
      </c>
      <c r="F230" s="158" t="s">
        <v>74</v>
      </c>
      <c r="G230" s="45"/>
    </row>
    <row r="231" spans="1:7" s="46" customFormat="1" ht="30" customHeight="1" thickBot="1">
      <c r="A231" s="77" t="s">
        <v>4</v>
      </c>
      <c r="B231" s="160" t="s">
        <v>38</v>
      </c>
      <c r="C231" s="159"/>
      <c r="D231" s="77" t="s">
        <v>12</v>
      </c>
      <c r="E231" s="247" t="s">
        <v>13</v>
      </c>
      <c r="F231" s="248"/>
      <c r="G231" s="45"/>
    </row>
    <row r="232" spans="1:7" s="51" customFormat="1">
      <c r="A232" s="47" t="s">
        <v>50</v>
      </c>
      <c r="B232" s="48">
        <v>32</v>
      </c>
      <c r="C232" s="151" t="str">
        <f xml:space="preserve"> IF(B232="","",setValueToTime(B232))</f>
        <v>2h40min</v>
      </c>
      <c r="D232" s="165" t="s">
        <v>167</v>
      </c>
      <c r="E232" s="239"/>
      <c r="F232" s="240"/>
      <c r="G232" s="50"/>
    </row>
    <row r="233" spans="1:7" s="51" customFormat="1">
      <c r="A233" s="52" t="s">
        <v>15</v>
      </c>
      <c r="B233" s="53">
        <v>2</v>
      </c>
      <c r="C233" s="152" t="str">
        <f t="shared" ref="C233:C239" si="19" xml:space="preserve"> IF(B233="","",setValueToTime(B233))</f>
        <v>0h10min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27.75" thickBot="1">
      <c r="A240" s="161" t="s">
        <v>27</v>
      </c>
      <c r="B240" s="82">
        <f>SUM(B232:B239)</f>
        <v>34</v>
      </c>
      <c r="C240" s="161" t="str">
        <f xml:space="preserve"> setValueToTime(B240)</f>
        <v>2h50min</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18</v>
      </c>
      <c r="C242" s="163"/>
      <c r="D242" s="156" t="s">
        <v>14</v>
      </c>
      <c r="E242" s="157" t="s">
        <v>156</v>
      </c>
      <c r="F242" s="158" t="s">
        <v>75</v>
      </c>
      <c r="G242" s="45"/>
    </row>
    <row r="243" spans="1:7" s="46" customFormat="1" ht="30" customHeight="1" thickBot="1">
      <c r="A243" s="77" t="s">
        <v>4</v>
      </c>
      <c r="B243" s="160" t="s">
        <v>38</v>
      </c>
      <c r="C243" s="159"/>
      <c r="D243" s="77" t="s">
        <v>12</v>
      </c>
      <c r="E243" s="247" t="s">
        <v>13</v>
      </c>
      <c r="F243" s="248"/>
      <c r="G243" s="45"/>
    </row>
    <row r="244" spans="1:7" s="51" customFormat="1">
      <c r="A244" s="47" t="s">
        <v>50</v>
      </c>
      <c r="B244" s="48">
        <v>33</v>
      </c>
      <c r="C244" s="151" t="str">
        <f xml:space="preserve"> IF(B244="","",setValueToTime(B244))</f>
        <v>2h45min</v>
      </c>
      <c r="D244" s="165" t="s">
        <v>163</v>
      </c>
      <c r="E244" s="239"/>
      <c r="F244" s="240"/>
      <c r="G244" s="50"/>
    </row>
    <row r="245" spans="1:7" s="51" customFormat="1">
      <c r="A245" s="52" t="s">
        <v>15</v>
      </c>
      <c r="B245" s="53">
        <v>3</v>
      </c>
      <c r="C245" s="152" t="str">
        <f t="shared" ref="C245:C251" si="20" xml:space="preserve"> IF(B245="","",setValueToTime(B245))</f>
        <v>0h15min</v>
      </c>
      <c r="D245" s="166" t="s">
        <v>106</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17</v>
      </c>
      <c r="C254" s="163"/>
      <c r="D254" s="156" t="s">
        <v>14</v>
      </c>
      <c r="E254" s="157" t="s">
        <v>156</v>
      </c>
      <c r="F254" s="158" t="s">
        <v>74</v>
      </c>
      <c r="G254" s="45"/>
    </row>
    <row r="255" spans="1:7" s="46" customFormat="1" ht="30" customHeight="1" thickBot="1">
      <c r="A255" s="77" t="s">
        <v>4</v>
      </c>
      <c r="B255" s="160" t="s">
        <v>38</v>
      </c>
      <c r="C255" s="159"/>
      <c r="D255" s="77" t="s">
        <v>12</v>
      </c>
      <c r="E255" s="247" t="s">
        <v>13</v>
      </c>
      <c r="F255" s="248"/>
      <c r="G255" s="45"/>
    </row>
    <row r="256" spans="1:7" s="51" customFormat="1" ht="40.5">
      <c r="A256" s="47" t="s">
        <v>50</v>
      </c>
      <c r="B256" s="48">
        <v>43</v>
      </c>
      <c r="C256" s="151" t="str">
        <f xml:space="preserve"> IF(B256="","",setValueToTime(B256))</f>
        <v>3h35min</v>
      </c>
      <c r="D256" s="165" t="s">
        <v>162</v>
      </c>
      <c r="E256" s="239"/>
      <c r="F256" s="240"/>
      <c r="G256" s="50"/>
    </row>
    <row r="257" spans="1:7" s="51" customFormat="1">
      <c r="A257" s="52" t="s">
        <v>15</v>
      </c>
      <c r="B257" s="53">
        <v>2</v>
      </c>
      <c r="C257" s="152" t="str">
        <f t="shared" ref="C257:C263" si="21" xml:space="preserve"> IF(B257="","",setValueToTime(B257))</f>
        <v>0h10min</v>
      </c>
      <c r="D257" s="166" t="s">
        <v>106</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27.75" thickBot="1">
      <c r="A264" s="161" t="s">
        <v>27</v>
      </c>
      <c r="B264" s="82">
        <f>SUM(B256:B263)</f>
        <v>45</v>
      </c>
      <c r="C264" s="161" t="str">
        <f xml:space="preserve"> setValueToTime(B264)</f>
        <v>3h45min</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16</v>
      </c>
      <c r="C266" s="163"/>
      <c r="D266" s="156" t="s">
        <v>14</v>
      </c>
      <c r="E266" s="157" t="s">
        <v>146</v>
      </c>
      <c r="F266" s="158" t="s">
        <v>75</v>
      </c>
      <c r="G266" s="45"/>
    </row>
    <row r="267" spans="1:7" s="46" customFormat="1" ht="30" customHeight="1" thickBot="1">
      <c r="A267" s="77" t="s">
        <v>4</v>
      </c>
      <c r="B267" s="160" t="s">
        <v>38</v>
      </c>
      <c r="C267" s="159"/>
      <c r="D267" s="77" t="s">
        <v>12</v>
      </c>
      <c r="E267" s="247" t="s">
        <v>13</v>
      </c>
      <c r="F267" s="248"/>
      <c r="G267" s="45"/>
    </row>
    <row r="268" spans="1:7" s="51" customFormat="1">
      <c r="A268" s="47" t="s">
        <v>50</v>
      </c>
      <c r="B268" s="48">
        <v>33</v>
      </c>
      <c r="C268" s="151" t="str">
        <f xml:space="preserve"> IF(B268="","",setValueToTime(B268))</f>
        <v>2h45min</v>
      </c>
      <c r="D268" s="165" t="s">
        <v>150</v>
      </c>
      <c r="E268" s="239"/>
      <c r="F268" s="240"/>
      <c r="G268" s="50"/>
    </row>
    <row r="269" spans="1:7" s="51" customFormat="1">
      <c r="A269" s="52" t="s">
        <v>15</v>
      </c>
      <c r="B269" s="53">
        <v>3</v>
      </c>
      <c r="C269" s="152" t="str">
        <f t="shared" ref="C269:C275" si="22" xml:space="preserve"> IF(B269="","",setValueToTime(B269))</f>
        <v>0h15min</v>
      </c>
      <c r="D269" s="166" t="s">
        <v>151</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15</v>
      </c>
      <c r="C278" s="163"/>
      <c r="D278" s="156" t="s">
        <v>14</v>
      </c>
      <c r="E278" s="157" t="s">
        <v>146</v>
      </c>
      <c r="F278" s="158" t="s">
        <v>74</v>
      </c>
      <c r="G278" s="45"/>
    </row>
    <row r="279" spans="1:7" s="46" customFormat="1" ht="30" customHeight="1" thickBot="1">
      <c r="A279" s="77" t="s">
        <v>4</v>
      </c>
      <c r="B279" s="160" t="s">
        <v>38</v>
      </c>
      <c r="C279" s="159"/>
      <c r="D279" s="77" t="s">
        <v>12</v>
      </c>
      <c r="E279" s="247" t="s">
        <v>13</v>
      </c>
      <c r="F279" s="248"/>
      <c r="G279" s="45"/>
    </row>
    <row r="280" spans="1:7" s="51" customFormat="1">
      <c r="A280" s="47" t="s">
        <v>51</v>
      </c>
      <c r="B280" s="48">
        <v>6</v>
      </c>
      <c r="C280" s="151" t="str">
        <f xml:space="preserve"> IF(B280="","",setValueToTime(B280))</f>
        <v>0h30min</v>
      </c>
      <c r="D280" s="165" t="s">
        <v>147</v>
      </c>
      <c r="E280" s="239"/>
      <c r="F280" s="240"/>
      <c r="G280" s="50"/>
    </row>
    <row r="281" spans="1:7" s="51" customFormat="1">
      <c r="A281" s="52" t="s">
        <v>56</v>
      </c>
      <c r="B281" s="53">
        <v>6</v>
      </c>
      <c r="C281" s="152" t="str">
        <f t="shared" ref="C281:C287" si="23" xml:space="preserve"> IF(B281="","",setValueToTime(B281))</f>
        <v>0h30min</v>
      </c>
      <c r="D281" s="166" t="s">
        <v>148</v>
      </c>
      <c r="E281" s="241"/>
      <c r="F281" s="242"/>
      <c r="G281" s="50"/>
    </row>
    <row r="282" spans="1:7" s="51" customFormat="1">
      <c r="A282" s="52" t="s">
        <v>66</v>
      </c>
      <c r="B282" s="53">
        <v>24</v>
      </c>
      <c r="C282" s="152" t="str">
        <f t="shared" si="23"/>
        <v>2h</v>
      </c>
      <c r="D282" s="166" t="s">
        <v>149</v>
      </c>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14</v>
      </c>
      <c r="C290" s="163"/>
      <c r="D290" s="156" t="s">
        <v>14</v>
      </c>
      <c r="E290" s="157">
        <v>44235</v>
      </c>
      <c r="F290" s="158" t="s">
        <v>86</v>
      </c>
      <c r="G290" s="45"/>
    </row>
    <row r="291" spans="1:7" s="46" customFormat="1" ht="30" customHeight="1" thickBot="1">
      <c r="A291" s="77" t="s">
        <v>4</v>
      </c>
      <c r="B291" s="160" t="s">
        <v>38</v>
      </c>
      <c r="C291" s="159"/>
      <c r="D291" s="77" t="s">
        <v>12</v>
      </c>
      <c r="E291" s="247" t="s">
        <v>13</v>
      </c>
      <c r="F291" s="248"/>
      <c r="G291" s="45"/>
    </row>
    <row r="292" spans="1:7" s="51" customFormat="1">
      <c r="A292" s="47" t="s">
        <v>51</v>
      </c>
      <c r="B292" s="48">
        <v>36</v>
      </c>
      <c r="C292" s="151" t="str">
        <f xml:space="preserve"> IF(B292="","",setValueToTime(B292))</f>
        <v>3h</v>
      </c>
      <c r="D292" s="165" t="s">
        <v>141</v>
      </c>
      <c r="E292" s="239"/>
      <c r="F292" s="240"/>
      <c r="G292" s="50"/>
    </row>
    <row r="293" spans="1:7" s="51" customFormat="1">
      <c r="A293" s="52"/>
      <c r="B293" s="53"/>
      <c r="C293" s="152" t="str">
        <f t="shared" ref="C293:C299" si="24" xml:space="preserve"> IF(B293="","",setValueToTime(B293))</f>
        <v/>
      </c>
      <c r="D293" s="54"/>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13</v>
      </c>
      <c r="C302" s="163"/>
      <c r="D302" s="156" t="s">
        <v>14</v>
      </c>
      <c r="E302" s="157" t="s">
        <v>138</v>
      </c>
      <c r="F302" s="158" t="s">
        <v>75</v>
      </c>
      <c r="G302" s="45"/>
    </row>
    <row r="303" spans="1:7" s="46" customFormat="1" ht="30" customHeight="1" thickBot="1">
      <c r="A303" s="77" t="s">
        <v>4</v>
      </c>
      <c r="B303" s="160" t="s">
        <v>38</v>
      </c>
      <c r="C303" s="159"/>
      <c r="D303" s="77" t="s">
        <v>12</v>
      </c>
      <c r="E303" s="247" t="s">
        <v>13</v>
      </c>
      <c r="F303" s="248"/>
      <c r="G303" s="45"/>
    </row>
    <row r="304" spans="1:7" s="51" customFormat="1" ht="27">
      <c r="A304" s="197" t="s">
        <v>66</v>
      </c>
      <c r="B304" s="48">
        <v>33</v>
      </c>
      <c r="C304" s="151" t="str">
        <f xml:space="preserve"> IF(B304="","",setValueToTime(B304))</f>
        <v>2h45min</v>
      </c>
      <c r="D304" s="165" t="s">
        <v>140</v>
      </c>
      <c r="E304" s="239"/>
      <c r="F304" s="240"/>
      <c r="G304" s="50"/>
    </row>
    <row r="305" spans="1:7" s="51" customFormat="1">
      <c r="A305" s="52" t="s">
        <v>15</v>
      </c>
      <c r="B305" s="53">
        <v>3</v>
      </c>
      <c r="C305" s="152" t="str">
        <f t="shared" ref="C305:C311" si="25" xml:space="preserve"> IF(B305="","",setValueToTime(B305))</f>
        <v>0h15min</v>
      </c>
      <c r="D305" s="166" t="s">
        <v>106</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61" t="s">
        <v>27</v>
      </c>
      <c r="B312" s="82">
        <f>SUM(B304:B311)</f>
        <v>36</v>
      </c>
      <c r="C312" s="161" t="str">
        <f xml:space="preserve"> setValueToTime(B312)</f>
        <v>3h</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12</v>
      </c>
      <c r="C314" s="163"/>
      <c r="D314" s="156" t="s">
        <v>14</v>
      </c>
      <c r="E314" s="157" t="s">
        <v>138</v>
      </c>
      <c r="F314" s="158" t="s">
        <v>74</v>
      </c>
      <c r="G314" s="45"/>
    </row>
    <row r="315" spans="1:7" s="46" customFormat="1" ht="30" customHeight="1" thickBot="1">
      <c r="A315" s="77" t="s">
        <v>4</v>
      </c>
      <c r="B315" s="160" t="s">
        <v>38</v>
      </c>
      <c r="C315" s="159"/>
      <c r="D315" s="77" t="s">
        <v>12</v>
      </c>
      <c r="E315" s="247" t="s">
        <v>13</v>
      </c>
      <c r="F315" s="248"/>
      <c r="G315" s="45"/>
    </row>
    <row r="316" spans="1:7" s="51" customFormat="1" ht="81">
      <c r="A316" s="47" t="s">
        <v>60</v>
      </c>
      <c r="B316" s="48">
        <v>33</v>
      </c>
      <c r="C316" s="151" t="str">
        <f xml:space="preserve"> IF(B316="","",setValueToTime(B316))</f>
        <v>2h45min</v>
      </c>
      <c r="D316" s="165" t="s">
        <v>139</v>
      </c>
      <c r="E316" s="239"/>
      <c r="F316" s="240"/>
      <c r="G316" s="50"/>
    </row>
    <row r="317" spans="1:7" s="51" customFormat="1">
      <c r="A317" s="52" t="s">
        <v>15</v>
      </c>
      <c r="B317" s="53">
        <v>3</v>
      </c>
      <c r="C317" s="152" t="str">
        <f t="shared" ref="C317:C323" si="26" xml:space="preserve"> IF(B317="","",setValueToTime(B317))</f>
        <v>0h15min</v>
      </c>
      <c r="D317" s="166" t="s">
        <v>106</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11</v>
      </c>
      <c r="C326" s="163"/>
      <c r="D326" s="156" t="s">
        <v>14</v>
      </c>
      <c r="E326" s="157" t="s">
        <v>135</v>
      </c>
      <c r="F326" s="158" t="s">
        <v>75</v>
      </c>
      <c r="G326" s="45"/>
    </row>
    <row r="327" spans="1:7" s="46" customFormat="1" ht="30" customHeight="1" thickBot="1">
      <c r="A327" s="77" t="s">
        <v>4</v>
      </c>
      <c r="B327" s="160" t="s">
        <v>38</v>
      </c>
      <c r="C327" s="159"/>
      <c r="D327" s="77" t="s">
        <v>12</v>
      </c>
      <c r="E327" s="247" t="s">
        <v>13</v>
      </c>
      <c r="F327" s="248"/>
      <c r="G327" s="45"/>
    </row>
    <row r="328" spans="1:7" s="51" customFormat="1" ht="54">
      <c r="A328" s="47" t="s">
        <v>60</v>
      </c>
      <c r="B328" s="48">
        <v>33</v>
      </c>
      <c r="C328" s="151" t="str">
        <f xml:space="preserve"> IF(B328="","",setValueToTime(B328))</f>
        <v>2h45min</v>
      </c>
      <c r="D328" s="165" t="s">
        <v>137</v>
      </c>
      <c r="E328" s="239"/>
      <c r="F328" s="240"/>
      <c r="G328" s="50"/>
    </row>
    <row r="329" spans="1:7" s="51" customFormat="1">
      <c r="A329" s="52" t="s">
        <v>15</v>
      </c>
      <c r="B329" s="53">
        <v>3</v>
      </c>
      <c r="C329" s="152" t="str">
        <f t="shared" ref="C329:C335" si="27" xml:space="preserve"> IF(B329="","",setValueToTime(B329))</f>
        <v>0h15min</v>
      </c>
      <c r="D329" s="166" t="s">
        <v>106</v>
      </c>
      <c r="E329" s="241"/>
      <c r="F329" s="242"/>
      <c r="G329" s="50"/>
    </row>
    <row r="330" spans="1:7" s="51" customFormat="1">
      <c r="A330" s="52"/>
      <c r="B330" s="53"/>
      <c r="C330" s="152" t="str">
        <f t="shared" si="27"/>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61" t="s">
        <v>27</v>
      </c>
      <c r="B336" s="82">
        <f>SUM(B328:B335)</f>
        <v>36</v>
      </c>
      <c r="C336" s="161" t="str">
        <f xml:space="preserve"> setValueToTime(B336)</f>
        <v>3h</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10</v>
      </c>
      <c r="C338" s="163"/>
      <c r="D338" s="156" t="s">
        <v>14</v>
      </c>
      <c r="E338" s="157" t="s">
        <v>135</v>
      </c>
      <c r="F338" s="158" t="s">
        <v>74</v>
      </c>
      <c r="G338" s="45"/>
    </row>
    <row r="339" spans="1:7" s="46" customFormat="1" ht="30" customHeight="1" thickBot="1">
      <c r="A339" s="77" t="s">
        <v>4</v>
      </c>
      <c r="B339" s="160" t="s">
        <v>38</v>
      </c>
      <c r="C339" s="159"/>
      <c r="D339" s="77" t="s">
        <v>12</v>
      </c>
      <c r="E339" s="247" t="s">
        <v>13</v>
      </c>
      <c r="F339" s="248"/>
      <c r="G339" s="45"/>
    </row>
    <row r="340" spans="1:7" s="51" customFormat="1" ht="40.5">
      <c r="A340" s="47" t="s">
        <v>59</v>
      </c>
      <c r="B340" s="48">
        <v>42</v>
      </c>
      <c r="C340" s="151" t="str">
        <f xml:space="preserve"> IF(B340="","",setValueToTime(B340))</f>
        <v>3h30min</v>
      </c>
      <c r="D340" s="165" t="s">
        <v>136</v>
      </c>
      <c r="E340" s="239"/>
      <c r="F340" s="240"/>
      <c r="G340" s="50"/>
    </row>
    <row r="341" spans="1:7" s="51" customFormat="1">
      <c r="A341" s="52" t="s">
        <v>15</v>
      </c>
      <c r="B341" s="53">
        <v>3</v>
      </c>
      <c r="C341" s="152" t="str">
        <f t="shared" ref="C341:C347" si="28" xml:space="preserve"> IF(B341="","",setValueToTime(B341))</f>
        <v>0h15min</v>
      </c>
      <c r="D341" s="166" t="s">
        <v>106</v>
      </c>
      <c r="E341" s="241"/>
      <c r="F341" s="242"/>
      <c r="G341" s="50"/>
    </row>
    <row r="342" spans="1:7" s="51" customFormat="1">
      <c r="A342" s="52"/>
      <c r="B342" s="53"/>
      <c r="C342" s="152" t="str">
        <f t="shared" si="28"/>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27.75" thickBot="1">
      <c r="A348" s="161" t="s">
        <v>27</v>
      </c>
      <c r="B348" s="82">
        <f>SUM(B340:B347)</f>
        <v>45</v>
      </c>
      <c r="C348" s="161" t="str">
        <f xml:space="preserve"> setValueToTime(B348)</f>
        <v>3h45min</v>
      </c>
      <c r="D348" s="120"/>
      <c r="E348" s="245"/>
      <c r="F348" s="246"/>
      <c r="G348" s="50"/>
    </row>
    <row r="349" spans="1:7" s="58" customFormat="1" ht="15" thickBot="1">
      <c r="A349" s="76"/>
      <c r="B349" s="76"/>
      <c r="C349" s="76"/>
      <c r="D349" s="76"/>
      <c r="E349" s="76"/>
      <c r="F349" s="76"/>
      <c r="G349" s="57"/>
    </row>
    <row r="350" spans="1:7" s="46" customFormat="1" ht="30" customHeight="1" thickBot="1">
      <c r="A350" s="155" t="s">
        <v>11</v>
      </c>
      <c r="B350" s="163">
        <v>9</v>
      </c>
      <c r="C350" s="163"/>
      <c r="D350" s="156" t="s">
        <v>14</v>
      </c>
      <c r="E350" s="157" t="s">
        <v>126</v>
      </c>
      <c r="F350" s="158" t="s">
        <v>75</v>
      </c>
      <c r="G350" s="45"/>
    </row>
    <row r="351" spans="1:7" s="46" customFormat="1" ht="30" customHeight="1" thickBot="1">
      <c r="A351" s="77" t="s">
        <v>4</v>
      </c>
      <c r="B351" s="160" t="s">
        <v>38</v>
      </c>
      <c r="C351" s="159"/>
      <c r="D351" s="77" t="s">
        <v>12</v>
      </c>
      <c r="E351" s="247" t="s">
        <v>13</v>
      </c>
      <c r="F351" s="248"/>
      <c r="G351" s="45"/>
    </row>
    <row r="352" spans="1:7" s="51" customFormat="1" ht="27">
      <c r="A352" s="47" t="s">
        <v>59</v>
      </c>
      <c r="B352" s="48">
        <v>33</v>
      </c>
      <c r="C352" s="151" t="str">
        <f xml:space="preserve"> IF(B352="","",setValueToTime(B352))</f>
        <v>2h45min</v>
      </c>
      <c r="D352" s="165" t="s">
        <v>134</v>
      </c>
      <c r="E352" s="239"/>
      <c r="F352" s="240"/>
      <c r="G352" s="50"/>
    </row>
    <row r="353" spans="1:7" s="51" customFormat="1">
      <c r="A353" s="52" t="s">
        <v>15</v>
      </c>
      <c r="B353" s="53">
        <v>3</v>
      </c>
      <c r="C353" s="152" t="str">
        <f t="shared" ref="C353:C359" si="29" xml:space="preserve"> IF(B353="","",setValueToTime(B353))</f>
        <v>0h15min</v>
      </c>
      <c r="D353" s="166" t="s">
        <v>106</v>
      </c>
      <c r="E353" s="241"/>
      <c r="F353" s="242"/>
      <c r="G353" s="50"/>
    </row>
    <row r="354" spans="1:7" s="51" customFormat="1">
      <c r="A354" s="52"/>
      <c r="B354" s="53"/>
      <c r="C354" s="152" t="str">
        <f t="shared" si="29"/>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61" t="s">
        <v>27</v>
      </c>
      <c r="B360" s="82">
        <f>SUM(B352:B359)</f>
        <v>36</v>
      </c>
      <c r="C360" s="161" t="str">
        <f xml:space="preserve"> setValueToTime(B360)</f>
        <v>3h</v>
      </c>
      <c r="D360" s="120"/>
      <c r="E360" s="245"/>
      <c r="F360" s="246"/>
      <c r="G360" s="50"/>
    </row>
    <row r="361" spans="1:7" s="58" customFormat="1" ht="15" thickBot="1">
      <c r="A361" s="76"/>
      <c r="B361" s="76"/>
      <c r="C361" s="76"/>
      <c r="D361" s="76"/>
      <c r="E361" s="76"/>
      <c r="F361" s="76"/>
      <c r="G361" s="57"/>
    </row>
    <row r="362" spans="1:7" s="46" customFormat="1" ht="30" customHeight="1" thickBot="1">
      <c r="A362" s="155" t="s">
        <v>11</v>
      </c>
      <c r="B362" s="163">
        <v>8</v>
      </c>
      <c r="C362" s="163"/>
      <c r="D362" s="156" t="s">
        <v>14</v>
      </c>
      <c r="E362" s="157" t="s">
        <v>126</v>
      </c>
      <c r="F362" s="158" t="s">
        <v>74</v>
      </c>
      <c r="G362" s="45"/>
    </row>
    <row r="363" spans="1:7" s="46" customFormat="1" ht="30" customHeight="1" thickBot="1">
      <c r="A363" s="77" t="s">
        <v>4</v>
      </c>
      <c r="B363" s="160" t="s">
        <v>38</v>
      </c>
      <c r="C363" s="159"/>
      <c r="D363" s="77" t="s">
        <v>12</v>
      </c>
      <c r="E363" s="247" t="s">
        <v>13</v>
      </c>
      <c r="F363" s="248"/>
      <c r="G363" s="45"/>
    </row>
    <row r="364" spans="1:7" s="51" customFormat="1" ht="27">
      <c r="A364" s="47" t="s">
        <v>118</v>
      </c>
      <c r="B364" s="48">
        <v>12</v>
      </c>
      <c r="C364" s="151" t="str">
        <f xml:space="preserve"> IF(B364="","",setValueToTime(B364))</f>
        <v>1h</v>
      </c>
      <c r="D364" s="165" t="s">
        <v>131</v>
      </c>
      <c r="E364" s="239"/>
      <c r="F364" s="240"/>
      <c r="G364" s="50"/>
    </row>
    <row r="365" spans="1:7" s="51" customFormat="1" ht="27">
      <c r="A365" s="52" t="s">
        <v>66</v>
      </c>
      <c r="B365" s="53">
        <v>12</v>
      </c>
      <c r="C365" s="152" t="str">
        <f t="shared" ref="C365:C371" si="30" xml:space="preserve"> IF(B365="","",setValueToTime(B365))</f>
        <v>1h</v>
      </c>
      <c r="D365" s="166" t="s">
        <v>132</v>
      </c>
      <c r="E365" s="241"/>
      <c r="F365" s="242"/>
      <c r="G365" s="50"/>
    </row>
    <row r="366" spans="1:7" s="51" customFormat="1">
      <c r="A366" s="52" t="s">
        <v>59</v>
      </c>
      <c r="B366" s="53">
        <v>21</v>
      </c>
      <c r="C366" s="152" t="str">
        <f t="shared" si="30"/>
        <v>1h45min</v>
      </c>
      <c r="D366" s="166" t="s">
        <v>133</v>
      </c>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27.75" thickBot="1">
      <c r="A372" s="161" t="s">
        <v>27</v>
      </c>
      <c r="B372" s="82">
        <f>SUM(B364:B371)</f>
        <v>45</v>
      </c>
      <c r="C372" s="161" t="str">
        <f xml:space="preserve"> setValueToTime(B372)</f>
        <v>3h45min</v>
      </c>
      <c r="D372" s="120"/>
      <c r="E372" s="245"/>
      <c r="F372" s="246"/>
      <c r="G372" s="50"/>
    </row>
    <row r="373" spans="1:7" s="58" customFormat="1" ht="15" thickBot="1">
      <c r="A373" s="76"/>
      <c r="B373" s="76"/>
      <c r="C373" s="76"/>
      <c r="D373" s="76"/>
      <c r="E373" s="76"/>
      <c r="F373" s="76"/>
      <c r="G373" s="57"/>
    </row>
    <row r="374" spans="1:7" s="46" customFormat="1" ht="30" customHeight="1" thickBot="1">
      <c r="A374" s="155" t="s">
        <v>11</v>
      </c>
      <c r="B374" s="163">
        <v>7</v>
      </c>
      <c r="C374" s="163"/>
      <c r="D374" s="156" t="s">
        <v>14</v>
      </c>
      <c r="E374" s="157" t="s">
        <v>125</v>
      </c>
      <c r="F374" s="158" t="s">
        <v>74</v>
      </c>
      <c r="G374" s="45"/>
    </row>
    <row r="375" spans="1:7" s="46" customFormat="1" ht="30" customHeight="1" thickBot="1">
      <c r="A375" s="77" t="s">
        <v>4</v>
      </c>
      <c r="B375" s="160" t="s">
        <v>38</v>
      </c>
      <c r="C375" s="159"/>
      <c r="D375" s="77" t="s">
        <v>12</v>
      </c>
      <c r="E375" s="247" t="s">
        <v>13</v>
      </c>
      <c r="F375" s="248"/>
      <c r="G375" s="45"/>
    </row>
    <row r="376" spans="1:7" s="51" customFormat="1">
      <c r="A376" s="47" t="s">
        <v>51</v>
      </c>
      <c r="B376" s="48">
        <v>6</v>
      </c>
      <c r="C376" s="151" t="str">
        <f xml:space="preserve"> IF(B376="","",setValueToTime(B376))</f>
        <v>0h30min</v>
      </c>
      <c r="D376" s="165" t="s">
        <v>127</v>
      </c>
      <c r="E376" s="239"/>
      <c r="F376" s="240"/>
      <c r="G376" s="50"/>
    </row>
    <row r="377" spans="1:7" s="51" customFormat="1" ht="27">
      <c r="A377" s="52" t="s">
        <v>65</v>
      </c>
      <c r="B377" s="53">
        <v>12</v>
      </c>
      <c r="C377" s="152" t="str">
        <f t="shared" ref="C377:C383" si="31" xml:space="preserve"> IF(B377="","",setValueToTime(B377))</f>
        <v>1h</v>
      </c>
      <c r="D377" s="166" t="s">
        <v>128</v>
      </c>
      <c r="E377" s="241"/>
      <c r="F377" s="242"/>
      <c r="G377" s="50"/>
    </row>
    <row r="378" spans="1:7" s="51" customFormat="1">
      <c r="A378" s="52" t="s">
        <v>56</v>
      </c>
      <c r="B378" s="53">
        <v>6</v>
      </c>
      <c r="C378" s="152" t="str">
        <f t="shared" si="31"/>
        <v>0h30min</v>
      </c>
      <c r="D378" s="166" t="s">
        <v>129</v>
      </c>
      <c r="E378" s="241"/>
      <c r="F378" s="242"/>
      <c r="G378" s="50"/>
    </row>
    <row r="379" spans="1:7" s="51" customFormat="1" ht="27">
      <c r="A379" s="52" t="s">
        <v>58</v>
      </c>
      <c r="B379" s="53">
        <v>12</v>
      </c>
      <c r="C379" s="152" t="str">
        <f t="shared" si="31"/>
        <v>1h</v>
      </c>
      <c r="D379" s="166" t="s">
        <v>130</v>
      </c>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61" t="s">
        <v>27</v>
      </c>
      <c r="B384" s="82">
        <f>SUM(B376:B383)</f>
        <v>36</v>
      </c>
      <c r="C384" s="161" t="str">
        <f xml:space="preserve"> setValueToTime(B384)</f>
        <v>3h</v>
      </c>
      <c r="D384" s="120"/>
      <c r="E384" s="245"/>
      <c r="F384" s="246"/>
      <c r="G384" s="50"/>
    </row>
    <row r="385" spans="1:7" s="58" customFormat="1" ht="15" thickBot="1">
      <c r="A385" s="76"/>
      <c r="B385" s="76"/>
      <c r="C385" s="76"/>
      <c r="D385" s="76"/>
      <c r="E385" s="76"/>
      <c r="F385" s="76"/>
      <c r="G385" s="57"/>
    </row>
    <row r="386" spans="1:7" s="46" customFormat="1" ht="30" customHeight="1" thickBot="1">
      <c r="A386" s="155" t="s">
        <v>11</v>
      </c>
      <c r="B386" s="163">
        <v>6</v>
      </c>
      <c r="C386" s="163"/>
      <c r="D386" s="156" t="s">
        <v>14</v>
      </c>
      <c r="E386" s="157" t="s">
        <v>104</v>
      </c>
      <c r="F386" s="158" t="s">
        <v>91</v>
      </c>
      <c r="G386" s="45"/>
    </row>
    <row r="387" spans="1:7" s="46" customFormat="1" ht="30" customHeight="1" thickBot="1">
      <c r="A387" s="77" t="s">
        <v>4</v>
      </c>
      <c r="B387" s="160" t="s">
        <v>38</v>
      </c>
      <c r="C387" s="159"/>
      <c r="D387" s="77" t="s">
        <v>12</v>
      </c>
      <c r="E387" s="247" t="s">
        <v>13</v>
      </c>
      <c r="F387" s="248"/>
      <c r="G387" s="45"/>
    </row>
    <row r="388" spans="1:7" s="51" customFormat="1" ht="81">
      <c r="A388" s="47" t="s">
        <v>57</v>
      </c>
      <c r="B388" s="48">
        <v>24</v>
      </c>
      <c r="C388" s="151" t="str">
        <f xml:space="preserve"> IF(B388="","",setValueToTime(B388))</f>
        <v>2h</v>
      </c>
      <c r="D388" s="165" t="s">
        <v>107</v>
      </c>
      <c r="E388" s="239"/>
      <c r="F388" s="240"/>
      <c r="G388" s="50"/>
    </row>
    <row r="389" spans="1:7" s="51" customFormat="1" ht="27">
      <c r="A389" s="52" t="s">
        <v>66</v>
      </c>
      <c r="B389" s="53">
        <v>9</v>
      </c>
      <c r="C389" s="152" t="str">
        <f t="shared" ref="C389:C395" si="32" xml:space="preserve"> IF(B389="","",setValueToTime(B389))</f>
        <v>0h45min</v>
      </c>
      <c r="D389" s="166" t="s">
        <v>108</v>
      </c>
      <c r="E389" s="241"/>
      <c r="F389" s="242"/>
      <c r="G389" s="50"/>
    </row>
    <row r="390" spans="1:7" s="51" customFormat="1">
      <c r="A390" s="52" t="s">
        <v>15</v>
      </c>
      <c r="B390" s="53">
        <v>3</v>
      </c>
      <c r="C390" s="152" t="str">
        <f t="shared" si="32"/>
        <v>0h15min</v>
      </c>
      <c r="D390" s="166" t="s">
        <v>106</v>
      </c>
      <c r="E390" s="241"/>
      <c r="F390" s="242"/>
      <c r="G390" s="50"/>
    </row>
    <row r="391" spans="1:7" s="51" customFormat="1">
      <c r="A391" s="52"/>
      <c r="B391" s="53"/>
      <c r="C391" s="152" t="str">
        <f t="shared" si="32"/>
        <v/>
      </c>
      <c r="D391" s="54"/>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61" t="s">
        <v>27</v>
      </c>
      <c r="B396" s="82">
        <f>SUM(B388:B395)</f>
        <v>36</v>
      </c>
      <c r="C396" s="161" t="str">
        <f xml:space="preserve"> setValueToTime(B396)</f>
        <v>3h</v>
      </c>
      <c r="D396" s="120"/>
      <c r="E396" s="245"/>
      <c r="F396" s="246"/>
      <c r="G396" s="50"/>
    </row>
    <row r="397" spans="1:7" s="58" customFormat="1" ht="15" thickBot="1">
      <c r="A397" s="76"/>
      <c r="B397" s="76"/>
      <c r="C397" s="76"/>
      <c r="D397" s="76"/>
      <c r="E397" s="76"/>
      <c r="F397" s="76"/>
      <c r="G397" s="57"/>
    </row>
    <row r="398" spans="1:7" s="46" customFormat="1" ht="30" customHeight="1" thickBot="1">
      <c r="A398" s="155" t="s">
        <v>11</v>
      </c>
      <c r="B398" s="163">
        <v>5</v>
      </c>
      <c r="C398" s="163"/>
      <c r="D398" s="156" t="s">
        <v>14</v>
      </c>
      <c r="E398" s="157" t="s">
        <v>104</v>
      </c>
      <c r="F398" s="158" t="s">
        <v>86</v>
      </c>
      <c r="G398" s="45"/>
    </row>
    <row r="399" spans="1:7" s="46" customFormat="1" ht="30" customHeight="1" thickBot="1">
      <c r="A399" s="77" t="s">
        <v>4</v>
      </c>
      <c r="B399" s="160" t="s">
        <v>38</v>
      </c>
      <c r="C399" s="159"/>
      <c r="D399" s="77" t="s">
        <v>12</v>
      </c>
      <c r="E399" s="247" t="s">
        <v>13</v>
      </c>
      <c r="F399" s="248"/>
      <c r="G399" s="45"/>
    </row>
    <row r="400" spans="1:7" s="51" customFormat="1" ht="148.5">
      <c r="A400" s="47" t="s">
        <v>58</v>
      </c>
      <c r="B400" s="48">
        <v>33</v>
      </c>
      <c r="C400" s="151" t="str">
        <f xml:space="preserve"> IF(B400="","",setValueToTime(B400))</f>
        <v>2h45min</v>
      </c>
      <c r="D400" s="165" t="s">
        <v>105</v>
      </c>
      <c r="E400" s="239"/>
      <c r="F400" s="240"/>
      <c r="G400" s="50"/>
    </row>
    <row r="401" spans="1:7" s="51" customFormat="1">
      <c r="A401" s="52" t="s">
        <v>15</v>
      </c>
      <c r="B401" s="53">
        <v>3</v>
      </c>
      <c r="C401" s="152" t="str">
        <f t="shared" ref="C401:C407" si="33" xml:space="preserve"> IF(B401="","",setValueToTime(B401))</f>
        <v>0h15min</v>
      </c>
      <c r="D401" s="166" t="s">
        <v>106</v>
      </c>
      <c r="E401" s="241"/>
      <c r="F401" s="242"/>
      <c r="G401" s="50"/>
    </row>
    <row r="402" spans="1:7" s="51" customFormat="1">
      <c r="A402" s="52"/>
      <c r="B402" s="53"/>
      <c r="C402" s="152" t="str">
        <f t="shared" si="33"/>
        <v/>
      </c>
      <c r="D402" s="54"/>
      <c r="E402" s="241"/>
      <c r="F402" s="242"/>
      <c r="G402" s="50"/>
    </row>
    <row r="403" spans="1:7" s="51" customFormat="1">
      <c r="A403" s="52"/>
      <c r="B403" s="53"/>
      <c r="C403" s="152" t="str">
        <f t="shared" si="33"/>
        <v/>
      </c>
      <c r="D403" s="54"/>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61" t="s">
        <v>27</v>
      </c>
      <c r="B408" s="82">
        <f>SUM(B400:B407)</f>
        <v>36</v>
      </c>
      <c r="C408" s="161" t="str">
        <f xml:space="preserve"> setValueToTime(B408)</f>
        <v>3h</v>
      </c>
      <c r="D408" s="120"/>
      <c r="E408" s="245"/>
      <c r="F408" s="246"/>
      <c r="G408" s="50"/>
    </row>
    <row r="409" spans="1:7" s="58" customFormat="1" ht="15" thickBot="1">
      <c r="A409" s="76"/>
      <c r="B409" s="76"/>
      <c r="C409" s="76"/>
      <c r="D409" s="76"/>
      <c r="E409" s="76"/>
      <c r="F409" s="76"/>
      <c r="G409" s="57"/>
    </row>
    <row r="410" spans="1:7" s="46" customFormat="1" ht="30" customHeight="1" thickBot="1">
      <c r="A410" s="155" t="s">
        <v>11</v>
      </c>
      <c r="B410" s="163">
        <v>4</v>
      </c>
      <c r="C410" s="163"/>
      <c r="D410" s="156" t="s">
        <v>14</v>
      </c>
      <c r="E410" s="157" t="s">
        <v>97</v>
      </c>
      <c r="F410" s="158" t="s">
        <v>91</v>
      </c>
      <c r="G410" s="45"/>
    </row>
    <row r="411" spans="1:7" s="46" customFormat="1" ht="30" customHeight="1" thickBot="1">
      <c r="A411" s="77" t="s">
        <v>4</v>
      </c>
      <c r="B411" s="160" t="s">
        <v>38</v>
      </c>
      <c r="C411" s="159"/>
      <c r="D411" s="77" t="s">
        <v>12</v>
      </c>
      <c r="E411" s="247" t="s">
        <v>13</v>
      </c>
      <c r="F411" s="248"/>
      <c r="G411" s="45"/>
    </row>
    <row r="412" spans="1:7" s="51" customFormat="1" ht="81">
      <c r="A412" s="47" t="s">
        <v>58</v>
      </c>
      <c r="B412" s="48">
        <v>33</v>
      </c>
      <c r="C412" s="151" t="str">
        <f xml:space="preserve"> IF(B412="","",setValueToTime(B412))</f>
        <v>2h45min</v>
      </c>
      <c r="D412" s="165" t="s">
        <v>102</v>
      </c>
      <c r="E412" s="239"/>
      <c r="F412" s="240"/>
      <c r="G412" s="50"/>
    </row>
    <row r="413" spans="1:7" s="51" customFormat="1">
      <c r="A413" s="52" t="s">
        <v>15</v>
      </c>
      <c r="B413" s="53">
        <v>3</v>
      </c>
      <c r="C413" s="152" t="str">
        <f t="shared" ref="C413:C419" si="34" xml:space="preserve"> IF(B413="","",setValueToTime(B413))</f>
        <v>0h15min</v>
      </c>
      <c r="D413" s="166" t="s">
        <v>103</v>
      </c>
      <c r="E413" s="241"/>
      <c r="F413" s="242"/>
      <c r="G413" s="50"/>
    </row>
    <row r="414" spans="1:7" s="51" customFormat="1">
      <c r="A414" s="52"/>
      <c r="B414" s="53"/>
      <c r="C414" s="152" t="str">
        <f t="shared" si="34"/>
        <v/>
      </c>
      <c r="D414" s="54"/>
      <c r="E414" s="241"/>
      <c r="F414" s="242"/>
      <c r="G414" s="50"/>
    </row>
    <row r="415" spans="1:7" s="51" customFormat="1">
      <c r="A415" s="52"/>
      <c r="B415" s="53"/>
      <c r="C415" s="152" t="str">
        <f t="shared" si="34"/>
        <v/>
      </c>
      <c r="D415" s="54"/>
      <c r="E415" s="241"/>
      <c r="F415" s="242"/>
      <c r="G415" s="50"/>
    </row>
    <row r="416" spans="1:7" s="51" customFormat="1">
      <c r="A416" s="53"/>
      <c r="B416" s="53"/>
      <c r="C416" s="153" t="str">
        <f t="shared" si="34"/>
        <v/>
      </c>
      <c r="D416" s="54"/>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15" thickBot="1">
      <c r="A420" s="161" t="s">
        <v>27</v>
      </c>
      <c r="B420" s="82">
        <f>SUM(B412:B419)</f>
        <v>36</v>
      </c>
      <c r="C420" s="161" t="str">
        <f xml:space="preserve"> setValueToTime(B420)</f>
        <v>3h</v>
      </c>
      <c r="D420" s="120"/>
      <c r="E420" s="245"/>
      <c r="F420" s="246"/>
      <c r="G420" s="50"/>
    </row>
    <row r="421" spans="1:7" s="58" customFormat="1" ht="15" thickBot="1">
      <c r="A421" s="76"/>
      <c r="B421" s="76"/>
      <c r="C421" s="76"/>
      <c r="D421" s="76"/>
      <c r="E421" s="76"/>
      <c r="F421" s="76"/>
      <c r="G421" s="57"/>
    </row>
    <row r="422" spans="1:7" s="46" customFormat="1" ht="30" customHeight="1" thickBot="1">
      <c r="A422" s="155" t="s">
        <v>11</v>
      </c>
      <c r="B422" s="163">
        <v>3</v>
      </c>
      <c r="C422" s="163"/>
      <c r="D422" s="156" t="s">
        <v>14</v>
      </c>
      <c r="E422" s="157" t="s">
        <v>97</v>
      </c>
      <c r="F422" s="158" t="s">
        <v>86</v>
      </c>
      <c r="G422" s="45"/>
    </row>
    <row r="423" spans="1:7" s="46" customFormat="1" ht="30" customHeight="1" thickBot="1">
      <c r="A423" s="77" t="s">
        <v>4</v>
      </c>
      <c r="B423" s="160" t="s">
        <v>38</v>
      </c>
      <c r="C423" s="159"/>
      <c r="D423" s="77" t="s">
        <v>12</v>
      </c>
      <c r="E423" s="247" t="s">
        <v>13</v>
      </c>
      <c r="F423" s="248"/>
      <c r="G423" s="45"/>
    </row>
    <row r="424" spans="1:7" s="51" customFormat="1">
      <c r="A424" s="47" t="s">
        <v>56</v>
      </c>
      <c r="B424" s="48">
        <v>3</v>
      </c>
      <c r="C424" s="151" t="str">
        <f xml:space="preserve"> IF(B424="","",setValueToTime(B424))</f>
        <v>0h15min</v>
      </c>
      <c r="D424" s="165" t="s">
        <v>98</v>
      </c>
      <c r="E424" s="239"/>
      <c r="F424" s="240"/>
      <c r="G424" s="50"/>
    </row>
    <row r="425" spans="1:7" s="51" customFormat="1">
      <c r="A425" s="52" t="s">
        <v>50</v>
      </c>
      <c r="B425" s="53">
        <v>15</v>
      </c>
      <c r="C425" s="152" t="str">
        <f t="shared" ref="C425:C431" si="35" xml:space="preserve"> IF(B425="","",setValueToTime(B425))</f>
        <v>1h15min</v>
      </c>
      <c r="D425" s="166" t="s">
        <v>99</v>
      </c>
      <c r="E425" s="241"/>
      <c r="F425" s="242"/>
      <c r="G425" s="50"/>
    </row>
    <row r="426" spans="1:7" s="51" customFormat="1" ht="27">
      <c r="A426" s="52" t="s">
        <v>52</v>
      </c>
      <c r="B426" s="53">
        <v>6</v>
      </c>
      <c r="C426" s="152" t="str">
        <f t="shared" si="35"/>
        <v>0h30min</v>
      </c>
      <c r="D426" s="166" t="s">
        <v>100</v>
      </c>
      <c r="E426" s="241"/>
      <c r="F426" s="242"/>
      <c r="G426" s="50"/>
    </row>
    <row r="427" spans="1:7" s="51" customFormat="1" ht="67.5">
      <c r="A427" s="52" t="s">
        <v>58</v>
      </c>
      <c r="B427" s="53">
        <v>12</v>
      </c>
      <c r="C427" s="152" t="str">
        <f t="shared" si="35"/>
        <v>1h</v>
      </c>
      <c r="D427" s="166" t="s">
        <v>101</v>
      </c>
      <c r="E427" s="241"/>
      <c r="F427" s="242"/>
      <c r="G427" s="50"/>
    </row>
    <row r="428" spans="1:7" s="51" customFormat="1">
      <c r="A428" s="53"/>
      <c r="B428" s="53"/>
      <c r="C428" s="153" t="str">
        <f t="shared" si="35"/>
        <v/>
      </c>
      <c r="D428" s="54"/>
      <c r="E428" s="241"/>
      <c r="F428" s="242"/>
      <c r="G428" s="50"/>
    </row>
    <row r="429" spans="1:7" s="51" customFormat="1">
      <c r="A429" s="53"/>
      <c r="B429" s="53"/>
      <c r="C429" s="153" t="str">
        <f t="shared" si="35"/>
        <v/>
      </c>
      <c r="D429" s="54"/>
      <c r="E429" s="241"/>
      <c r="F429" s="242"/>
      <c r="G429" s="50"/>
    </row>
    <row r="430" spans="1:7" s="51" customFormat="1">
      <c r="A430" s="53"/>
      <c r="B430" s="53"/>
      <c r="C430" s="153" t="str">
        <f t="shared" si="35"/>
        <v/>
      </c>
      <c r="D430" s="54"/>
      <c r="E430" s="241"/>
      <c r="F430" s="242"/>
      <c r="G430" s="50"/>
    </row>
    <row r="431" spans="1:7" s="51" customFormat="1" ht="15" thickBot="1">
      <c r="A431" s="55"/>
      <c r="B431" s="55"/>
      <c r="C431" s="154" t="str">
        <f t="shared" si="35"/>
        <v/>
      </c>
      <c r="D431" s="56"/>
      <c r="E431" s="243"/>
      <c r="F431" s="244"/>
      <c r="G431" s="50"/>
    </row>
    <row r="432" spans="1:7" s="51" customFormat="1" ht="15" thickBot="1">
      <c r="A432" s="161" t="s">
        <v>27</v>
      </c>
      <c r="B432" s="82">
        <f>SUM(B424:B431)</f>
        <v>36</v>
      </c>
      <c r="C432" s="161" t="str">
        <f xml:space="preserve"> setValueToTime(B432)</f>
        <v>3h</v>
      </c>
      <c r="D432" s="120"/>
      <c r="E432" s="245"/>
      <c r="F432" s="246"/>
      <c r="G432" s="50"/>
    </row>
    <row r="433" spans="1:7" s="58" customFormat="1" ht="15" thickBot="1">
      <c r="A433" s="76"/>
      <c r="B433" s="76"/>
      <c r="C433" s="76"/>
      <c r="D433" s="76"/>
      <c r="E433" s="76"/>
      <c r="F433" s="76"/>
      <c r="G433" s="57"/>
    </row>
    <row r="434" spans="1:7" s="46" customFormat="1" ht="30" customHeight="1" thickBot="1">
      <c r="A434" s="155" t="s">
        <v>11</v>
      </c>
      <c r="B434" s="163">
        <v>2</v>
      </c>
      <c r="C434" s="163"/>
      <c r="D434" s="156" t="s">
        <v>14</v>
      </c>
      <c r="E434" s="157" t="s">
        <v>71</v>
      </c>
      <c r="F434" s="158" t="s">
        <v>75</v>
      </c>
      <c r="G434" s="45"/>
    </row>
    <row r="435" spans="1:7" s="46" customFormat="1" ht="30" customHeight="1" thickBot="1">
      <c r="A435" s="77" t="s">
        <v>4</v>
      </c>
      <c r="B435" s="160" t="s">
        <v>38</v>
      </c>
      <c r="C435" s="159"/>
      <c r="D435" s="77" t="s">
        <v>12</v>
      </c>
      <c r="E435" s="247" t="s">
        <v>13</v>
      </c>
      <c r="F435" s="248"/>
      <c r="G435" s="45"/>
    </row>
    <row r="436" spans="1:7" s="51" customFormat="1" ht="67.5">
      <c r="A436" s="47" t="s">
        <v>58</v>
      </c>
      <c r="B436" s="48">
        <v>33</v>
      </c>
      <c r="C436" s="151" t="str">
        <f xml:space="preserve"> IF(B436="","",setValueToTime(B436))</f>
        <v>2h45min</v>
      </c>
      <c r="D436" s="165" t="s">
        <v>84</v>
      </c>
      <c r="E436" s="239"/>
      <c r="F436" s="240"/>
      <c r="G436" s="50"/>
    </row>
    <row r="437" spans="1:7" s="51" customFormat="1">
      <c r="A437" s="52" t="s">
        <v>15</v>
      </c>
      <c r="B437" s="53">
        <v>3</v>
      </c>
      <c r="C437" s="152" t="str">
        <f t="shared" ref="C437:C443" si="36" xml:space="preserve"> IF(B437="","",setValueToTime(B437))</f>
        <v>0h15min</v>
      </c>
      <c r="D437" s="166" t="s">
        <v>85</v>
      </c>
      <c r="E437" s="241"/>
      <c r="F437" s="242"/>
      <c r="G437" s="50"/>
    </row>
    <row r="438" spans="1:7" s="51" customFormat="1">
      <c r="A438" s="52"/>
      <c r="B438" s="53"/>
      <c r="C438" s="152" t="str">
        <f t="shared" si="36"/>
        <v/>
      </c>
      <c r="D438" s="54"/>
      <c r="E438" s="241"/>
      <c r="F438" s="242"/>
      <c r="G438" s="50"/>
    </row>
    <row r="439" spans="1:7" s="51" customFormat="1">
      <c r="A439" s="52"/>
      <c r="B439" s="53"/>
      <c r="C439" s="152" t="str">
        <f t="shared" si="36"/>
        <v/>
      </c>
      <c r="D439" s="54"/>
      <c r="E439" s="241"/>
      <c r="F439" s="242"/>
      <c r="G439" s="50"/>
    </row>
    <row r="440" spans="1:7" s="51" customFormat="1">
      <c r="A440" s="53"/>
      <c r="B440" s="53"/>
      <c r="C440" s="153" t="str">
        <f t="shared" si="36"/>
        <v/>
      </c>
      <c r="D440" s="54"/>
      <c r="E440" s="241"/>
      <c r="F440" s="242"/>
      <c r="G440" s="50"/>
    </row>
    <row r="441" spans="1:7" s="51" customFormat="1">
      <c r="A441" s="53"/>
      <c r="B441" s="53"/>
      <c r="C441" s="153" t="str">
        <f t="shared" si="36"/>
        <v/>
      </c>
      <c r="D441" s="54"/>
      <c r="E441" s="241"/>
      <c r="F441" s="242"/>
      <c r="G441" s="50"/>
    </row>
    <row r="442" spans="1:7" s="51" customFormat="1">
      <c r="A442" s="53"/>
      <c r="B442" s="53"/>
      <c r="C442" s="153" t="str">
        <f t="shared" si="36"/>
        <v/>
      </c>
      <c r="D442" s="54"/>
      <c r="E442" s="241"/>
      <c r="F442" s="242"/>
      <c r="G442" s="50"/>
    </row>
    <row r="443" spans="1:7" s="51" customFormat="1" ht="15" thickBot="1">
      <c r="A443" s="55"/>
      <c r="B443" s="55"/>
      <c r="C443" s="154" t="str">
        <f t="shared" si="36"/>
        <v/>
      </c>
      <c r="D443" s="56"/>
      <c r="E443" s="243"/>
      <c r="F443" s="244"/>
      <c r="G443" s="50"/>
    </row>
    <row r="444" spans="1:7" s="51" customFormat="1" ht="15" thickBot="1">
      <c r="A444" s="161" t="s">
        <v>27</v>
      </c>
      <c r="B444" s="82">
        <f>SUM(B436:B443)</f>
        <v>36</v>
      </c>
      <c r="C444" s="161" t="str">
        <f xml:space="preserve"> setValueToTime(B444)</f>
        <v>3h</v>
      </c>
      <c r="D444" s="120"/>
      <c r="E444" s="245"/>
      <c r="F444" s="246"/>
      <c r="G444" s="50"/>
    </row>
    <row r="445" spans="1:7" s="58" customFormat="1" ht="15" thickBot="1">
      <c r="A445" s="76"/>
      <c r="B445" s="76"/>
      <c r="C445" s="76"/>
      <c r="D445" s="76"/>
      <c r="E445" s="76"/>
      <c r="F445" s="76"/>
      <c r="G445" s="57"/>
    </row>
    <row r="446" spans="1:7" s="46" customFormat="1" ht="30" customHeight="1" thickBot="1">
      <c r="A446" s="155" t="s">
        <v>11</v>
      </c>
      <c r="B446" s="163">
        <v>1</v>
      </c>
      <c r="C446" s="163"/>
      <c r="D446" s="156" t="s">
        <v>14</v>
      </c>
      <c r="E446" s="157" t="s">
        <v>71</v>
      </c>
      <c r="F446" s="158" t="s">
        <v>74</v>
      </c>
      <c r="G446" s="45"/>
    </row>
    <row r="447" spans="1:7" s="46" customFormat="1" ht="30" customHeight="1" thickBot="1">
      <c r="A447" s="77" t="s">
        <v>4</v>
      </c>
      <c r="B447" s="160" t="s">
        <v>38</v>
      </c>
      <c r="C447" s="159"/>
      <c r="D447" s="77" t="s">
        <v>12</v>
      </c>
      <c r="E447" s="247" t="s">
        <v>13</v>
      </c>
      <c r="F447" s="248"/>
      <c r="G447" s="45"/>
    </row>
    <row r="448" spans="1:7" s="51" customFormat="1">
      <c r="A448" s="47" t="s">
        <v>51</v>
      </c>
      <c r="B448" s="48">
        <v>12</v>
      </c>
      <c r="C448" s="151" t="str">
        <f xml:space="preserve"> IF(B448="","",setValueToTime(B448))</f>
        <v>1h</v>
      </c>
      <c r="D448" s="165" t="s">
        <v>79</v>
      </c>
      <c r="E448" s="239"/>
      <c r="F448" s="240"/>
      <c r="G448" s="50"/>
    </row>
    <row r="449" spans="1:7" s="51" customFormat="1">
      <c r="A449" s="52" t="s">
        <v>56</v>
      </c>
      <c r="B449" s="53">
        <v>9</v>
      </c>
      <c r="C449" s="152" t="str">
        <f t="shared" ref="C449:C455" si="37" xml:space="preserve"> IF(B449="","",setValueToTime(B449))</f>
        <v>0h45min</v>
      </c>
      <c r="D449" s="166" t="s">
        <v>69</v>
      </c>
      <c r="E449" s="241"/>
      <c r="F449" s="242"/>
      <c r="G449" s="50"/>
    </row>
    <row r="450" spans="1:7" s="51" customFormat="1" ht="27">
      <c r="A450" s="52" t="s">
        <v>64</v>
      </c>
      <c r="B450" s="53">
        <v>9</v>
      </c>
      <c r="C450" s="152" t="str">
        <f t="shared" si="37"/>
        <v>0h45min</v>
      </c>
      <c r="D450" s="166" t="s">
        <v>81</v>
      </c>
      <c r="E450" s="249" t="s">
        <v>80</v>
      </c>
      <c r="F450" s="242"/>
      <c r="G450" s="50"/>
    </row>
    <row r="451" spans="1:7" s="51" customFormat="1" ht="27">
      <c r="A451" s="52" t="s">
        <v>65</v>
      </c>
      <c r="B451" s="53">
        <v>3</v>
      </c>
      <c r="C451" s="152" t="str">
        <f t="shared" si="37"/>
        <v>0h15min</v>
      </c>
      <c r="D451" s="166" t="s">
        <v>82</v>
      </c>
      <c r="E451" s="241"/>
      <c r="F451" s="242"/>
      <c r="G451" s="50"/>
    </row>
    <row r="452" spans="1:7" s="51" customFormat="1" ht="40.5">
      <c r="A452" s="53" t="s">
        <v>58</v>
      </c>
      <c r="B452" s="53">
        <v>18</v>
      </c>
      <c r="C452" s="153" t="str">
        <f t="shared" si="37"/>
        <v>1h30min</v>
      </c>
      <c r="D452" s="166" t="s">
        <v>83</v>
      </c>
      <c r="E452" s="241"/>
      <c r="F452" s="242"/>
      <c r="G452" s="50"/>
    </row>
    <row r="453" spans="1:7" s="51" customFormat="1">
      <c r="A453" s="53"/>
      <c r="B453" s="53"/>
      <c r="C453" s="153" t="str">
        <f t="shared" si="37"/>
        <v/>
      </c>
      <c r="D453" s="54"/>
      <c r="E453" s="241"/>
      <c r="F453" s="242"/>
      <c r="G453" s="50"/>
    </row>
    <row r="454" spans="1:7" s="51" customFormat="1">
      <c r="A454" s="53"/>
      <c r="B454" s="53"/>
      <c r="C454" s="153" t="str">
        <f t="shared" si="37"/>
        <v/>
      </c>
      <c r="D454" s="54"/>
      <c r="E454" s="241"/>
      <c r="F454" s="242"/>
      <c r="G454" s="50"/>
    </row>
    <row r="455" spans="1:7" s="51" customFormat="1" ht="15" thickBot="1">
      <c r="A455" s="55"/>
      <c r="B455" s="55"/>
      <c r="C455" s="154" t="str">
        <f t="shared" si="37"/>
        <v/>
      </c>
      <c r="D455" s="56"/>
      <c r="E455" s="243"/>
      <c r="F455" s="244"/>
      <c r="G455" s="50"/>
    </row>
    <row r="456" spans="1:7" s="51" customFormat="1" ht="27.75" thickBot="1">
      <c r="A456" s="161" t="s">
        <v>27</v>
      </c>
      <c r="B456" s="82">
        <f>SUM(B448:B455)</f>
        <v>51</v>
      </c>
      <c r="C456" s="161" t="str">
        <f xml:space="preserve"> setValueToTime(B456)</f>
        <v>4h15min</v>
      </c>
      <c r="D456" s="120"/>
      <c r="E456" s="245"/>
      <c r="F456" s="246"/>
      <c r="G456" s="50"/>
    </row>
    <row r="457" spans="1:7" s="58" customFormat="1">
      <c r="A457" s="76"/>
      <c r="B457" s="76"/>
      <c r="C457" s="76"/>
      <c r="D457" s="76"/>
      <c r="E457" s="76"/>
      <c r="F457" s="76"/>
      <c r="G457" s="57"/>
    </row>
  </sheetData>
  <sheetProtection formatRows="0" insertRows="0" insertHyperlinks="0" deleteRows="0" selectLockedCells="1"/>
  <mergeCells count="38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99:F99"/>
    <mergeCell ref="E100:F100"/>
    <mergeCell ref="E101:F101"/>
    <mergeCell ref="E102:F102"/>
    <mergeCell ref="E103:F103"/>
    <mergeCell ref="E104:F104"/>
    <mergeCell ref="E105:F105"/>
    <mergeCell ref="E106:F106"/>
    <mergeCell ref="E107:F107"/>
    <mergeCell ref="E132:F132"/>
    <mergeCell ref="E123:F123"/>
    <mergeCell ref="E124:F124"/>
    <mergeCell ref="E125:F125"/>
    <mergeCell ref="E126:F126"/>
    <mergeCell ref="E127:F127"/>
    <mergeCell ref="E128:F128"/>
    <mergeCell ref="E129:F129"/>
    <mergeCell ref="E130:F130"/>
    <mergeCell ref="E131:F13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48:F348"/>
    <mergeCell ref="E315:F315"/>
    <mergeCell ref="E316:F316"/>
    <mergeCell ref="E317:F317"/>
    <mergeCell ref="E318:F318"/>
    <mergeCell ref="E319:F319"/>
    <mergeCell ref="E320:F320"/>
    <mergeCell ref="E321:F321"/>
    <mergeCell ref="E322:F322"/>
    <mergeCell ref="E323:F323"/>
    <mergeCell ref="E324:F324"/>
    <mergeCell ref="E339:F339"/>
    <mergeCell ref="E340:F340"/>
    <mergeCell ref="E341:F341"/>
    <mergeCell ref="E342:F342"/>
    <mergeCell ref="E343:F343"/>
    <mergeCell ref="E344:F344"/>
    <mergeCell ref="E345:F345"/>
    <mergeCell ref="E346:F346"/>
    <mergeCell ref="E347:F347"/>
    <mergeCell ref="E372:F372"/>
    <mergeCell ref="E351:F351"/>
    <mergeCell ref="E352:F352"/>
    <mergeCell ref="E353:F353"/>
    <mergeCell ref="E354:F354"/>
    <mergeCell ref="E355:F355"/>
    <mergeCell ref="E356:F356"/>
    <mergeCell ref="E357:F357"/>
    <mergeCell ref="E358:F358"/>
    <mergeCell ref="E359:F359"/>
    <mergeCell ref="E360:F360"/>
    <mergeCell ref="E363:F363"/>
    <mergeCell ref="E364:F364"/>
    <mergeCell ref="E365:F365"/>
    <mergeCell ref="E366:F366"/>
    <mergeCell ref="E367:F367"/>
    <mergeCell ref="E368:F368"/>
    <mergeCell ref="E369:F369"/>
    <mergeCell ref="E370:F370"/>
    <mergeCell ref="E371:F371"/>
    <mergeCell ref="E387:F387"/>
    <mergeCell ref="E388:F388"/>
    <mergeCell ref="E389:F389"/>
    <mergeCell ref="E390:F390"/>
    <mergeCell ref="E391:F391"/>
    <mergeCell ref="E392:F392"/>
    <mergeCell ref="E393:F393"/>
    <mergeCell ref="E394:F394"/>
    <mergeCell ref="E395:F395"/>
    <mergeCell ref="E376:F376"/>
    <mergeCell ref="E377:F377"/>
    <mergeCell ref="E378:F378"/>
    <mergeCell ref="E379:F379"/>
    <mergeCell ref="E380:F380"/>
    <mergeCell ref="E381:F381"/>
    <mergeCell ref="E382:F382"/>
    <mergeCell ref="E383:F383"/>
    <mergeCell ref="E384:F384"/>
    <mergeCell ref="E424:F424"/>
    <mergeCell ref="E456:F456"/>
    <mergeCell ref="E435:F435"/>
    <mergeCell ref="E436:F436"/>
    <mergeCell ref="E437:F437"/>
    <mergeCell ref="E438:F438"/>
    <mergeCell ref="E439:F439"/>
    <mergeCell ref="E440:F440"/>
    <mergeCell ref="E447:F447"/>
    <mergeCell ref="E448:F448"/>
    <mergeCell ref="E449:F449"/>
    <mergeCell ref="E450:F450"/>
    <mergeCell ref="E451:F451"/>
    <mergeCell ref="E452:F452"/>
    <mergeCell ref="E444:F444"/>
    <mergeCell ref="E453:F453"/>
    <mergeCell ref="E455:F455"/>
    <mergeCell ref="E441:F441"/>
    <mergeCell ref="E442:F442"/>
    <mergeCell ref="E443:F443"/>
    <mergeCell ref="E428:F428"/>
    <mergeCell ref="E429:F429"/>
    <mergeCell ref="E430:F430"/>
    <mergeCell ref="E431:F431"/>
    <mergeCell ref="E432:F432"/>
    <mergeCell ref="E454:F454"/>
    <mergeCell ref="E425:F425"/>
    <mergeCell ref="E426:F426"/>
    <mergeCell ref="E427:F427"/>
    <mergeCell ref="E327:F327"/>
    <mergeCell ref="E328:F328"/>
    <mergeCell ref="E329:F329"/>
    <mergeCell ref="E330:F330"/>
    <mergeCell ref="E331:F331"/>
    <mergeCell ref="E332:F332"/>
    <mergeCell ref="E333:F333"/>
    <mergeCell ref="E334:F334"/>
    <mergeCell ref="E335:F335"/>
    <mergeCell ref="E336:F336"/>
    <mergeCell ref="E411:F411"/>
    <mergeCell ref="E412:F412"/>
    <mergeCell ref="E413:F413"/>
    <mergeCell ref="E414:F414"/>
    <mergeCell ref="E415:F415"/>
    <mergeCell ref="E416:F416"/>
    <mergeCell ref="E417:F417"/>
    <mergeCell ref="E418:F418"/>
    <mergeCell ref="E419:F419"/>
    <mergeCell ref="E420:F420"/>
    <mergeCell ref="E423:F423"/>
    <mergeCell ref="E303:F303"/>
    <mergeCell ref="E304:F304"/>
    <mergeCell ref="E305:F305"/>
    <mergeCell ref="E306:F306"/>
    <mergeCell ref="E307:F307"/>
    <mergeCell ref="E308:F308"/>
    <mergeCell ref="E309:F309"/>
    <mergeCell ref="E310:F310"/>
    <mergeCell ref="E311:F311"/>
    <mergeCell ref="E312:F312"/>
    <mergeCell ref="E407:F407"/>
    <mergeCell ref="E408:F408"/>
    <mergeCell ref="E399:F399"/>
    <mergeCell ref="E400:F400"/>
    <mergeCell ref="E401:F401"/>
    <mergeCell ref="E402:F402"/>
    <mergeCell ref="E403:F403"/>
    <mergeCell ref="E404:F404"/>
    <mergeCell ref="E405:F405"/>
    <mergeCell ref="E406:F406"/>
    <mergeCell ref="E396:F396"/>
    <mergeCell ref="E375:F375"/>
    <mergeCell ref="E276:F276"/>
    <mergeCell ref="E267:F267"/>
    <mergeCell ref="E268:F268"/>
    <mergeCell ref="E269:F269"/>
    <mergeCell ref="E270:F270"/>
    <mergeCell ref="E271:F271"/>
    <mergeCell ref="E272:F272"/>
    <mergeCell ref="E273:F273"/>
    <mergeCell ref="E274:F274"/>
    <mergeCell ref="E275:F275"/>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16:F216"/>
    <mergeCell ref="E207:F207"/>
    <mergeCell ref="E208:F208"/>
    <mergeCell ref="E209:F209"/>
    <mergeCell ref="E210:F210"/>
    <mergeCell ref="E211:F211"/>
    <mergeCell ref="E212:F212"/>
    <mergeCell ref="E213:F213"/>
    <mergeCell ref="E214:F214"/>
    <mergeCell ref="E215:F215"/>
    <mergeCell ref="E180:F180"/>
    <mergeCell ref="E171:F171"/>
    <mergeCell ref="E172:F172"/>
    <mergeCell ref="E173:F173"/>
    <mergeCell ref="E174:F174"/>
    <mergeCell ref="E175:F175"/>
    <mergeCell ref="E176:F176"/>
    <mergeCell ref="E177:F177"/>
    <mergeCell ref="E178:F178"/>
    <mergeCell ref="E179:F179"/>
    <mergeCell ref="E144:F144"/>
    <mergeCell ref="E135:F135"/>
    <mergeCell ref="E136:F136"/>
    <mergeCell ref="E137:F137"/>
    <mergeCell ref="E138:F138"/>
    <mergeCell ref="E139:F139"/>
    <mergeCell ref="E140:F140"/>
    <mergeCell ref="E141:F141"/>
    <mergeCell ref="E142:F142"/>
    <mergeCell ref="E143:F143"/>
    <mergeCell ref="E120:F120"/>
    <mergeCell ref="E111:F111"/>
    <mergeCell ref="E112:F112"/>
    <mergeCell ref="E113:F113"/>
    <mergeCell ref="E114:F114"/>
    <mergeCell ref="E115:F115"/>
    <mergeCell ref="E116:F116"/>
    <mergeCell ref="E117:F117"/>
    <mergeCell ref="E118:F118"/>
    <mergeCell ref="E119:F119"/>
    <mergeCell ref="E96:F96"/>
    <mergeCell ref="E87:F87"/>
    <mergeCell ref="E88:F88"/>
    <mergeCell ref="E89:F89"/>
    <mergeCell ref="E90:F90"/>
    <mergeCell ref="E91:F91"/>
    <mergeCell ref="E92:F92"/>
    <mergeCell ref="E93:F93"/>
    <mergeCell ref="E94:F94"/>
    <mergeCell ref="E95:F95"/>
    <mergeCell ref="E36:F36"/>
    <mergeCell ref="E27:F27"/>
    <mergeCell ref="E28:F28"/>
    <mergeCell ref="E29:F29"/>
    <mergeCell ref="E30:F30"/>
    <mergeCell ref="E31:F31"/>
    <mergeCell ref="E32:F32"/>
    <mergeCell ref="E33:F33"/>
    <mergeCell ref="E34:F34"/>
    <mergeCell ref="E35:F35"/>
  </mergeCells>
  <phoneticPr fontId="0" type="noConversion"/>
  <conditionalFormatting sqref="B456">
    <cfRule type="cellIs" dxfId="40" priority="38" operator="greaterThan">
      <formula>60</formula>
    </cfRule>
  </conditionalFormatting>
  <conditionalFormatting sqref="B444">
    <cfRule type="cellIs" dxfId="39" priority="37" operator="greaterThan">
      <formula>60</formula>
    </cfRule>
  </conditionalFormatting>
  <conditionalFormatting sqref="B432">
    <cfRule type="cellIs" dxfId="38" priority="36" operator="greaterThan">
      <formula>60</formula>
    </cfRule>
  </conditionalFormatting>
  <conditionalFormatting sqref="B420">
    <cfRule type="cellIs" dxfId="37" priority="35" operator="greaterThan">
      <formula>60</formula>
    </cfRule>
  </conditionalFormatting>
  <conditionalFormatting sqref="B408">
    <cfRule type="cellIs" dxfId="36" priority="34" operator="greaterThan">
      <formula>60</formula>
    </cfRule>
  </conditionalFormatting>
  <conditionalFormatting sqref="B396">
    <cfRule type="cellIs" dxfId="35" priority="33" operator="greaterThan">
      <formula>60</formula>
    </cfRule>
  </conditionalFormatting>
  <conditionalFormatting sqref="B384">
    <cfRule type="cellIs" dxfId="34" priority="32" operator="greaterThan">
      <formula>60</formula>
    </cfRule>
  </conditionalFormatting>
  <conditionalFormatting sqref="B372">
    <cfRule type="cellIs" dxfId="33" priority="31" operator="greaterThan">
      <formula>60</formula>
    </cfRule>
  </conditionalFormatting>
  <conditionalFormatting sqref="B360">
    <cfRule type="cellIs" dxfId="32" priority="30" operator="greaterThan">
      <formula>60</formula>
    </cfRule>
  </conditionalFormatting>
  <conditionalFormatting sqref="B348">
    <cfRule type="cellIs" dxfId="31" priority="29" operator="greaterThan">
      <formula>60</formula>
    </cfRule>
  </conditionalFormatting>
  <conditionalFormatting sqref="B336">
    <cfRule type="cellIs" dxfId="30" priority="28" operator="greaterThan">
      <formula>60</formula>
    </cfRule>
  </conditionalFormatting>
  <conditionalFormatting sqref="B324">
    <cfRule type="cellIs" dxfId="29" priority="27" operator="greaterThan">
      <formula>60</formula>
    </cfRule>
  </conditionalFormatting>
  <conditionalFormatting sqref="B312">
    <cfRule type="cellIs" dxfId="28" priority="26" operator="greaterThan">
      <formula>60</formula>
    </cfRule>
  </conditionalFormatting>
  <conditionalFormatting sqref="B300">
    <cfRule type="cellIs" dxfId="27" priority="25" operator="greaterThan">
      <formula>60</formula>
    </cfRule>
  </conditionalFormatting>
  <conditionalFormatting sqref="B288">
    <cfRule type="cellIs" dxfId="26" priority="24" operator="greaterThan">
      <formula>60</formula>
    </cfRule>
  </conditionalFormatting>
  <conditionalFormatting sqref="B276">
    <cfRule type="cellIs" dxfId="25" priority="23" operator="greaterThan">
      <formula>60</formula>
    </cfRule>
  </conditionalFormatting>
  <conditionalFormatting sqref="B264">
    <cfRule type="cellIs" dxfId="24" priority="22" operator="greaterThan">
      <formula>60</formula>
    </cfRule>
  </conditionalFormatting>
  <conditionalFormatting sqref="B252">
    <cfRule type="cellIs" dxfId="23" priority="21" operator="greaterThan">
      <formula>60</formula>
    </cfRule>
  </conditionalFormatting>
  <conditionalFormatting sqref="B240">
    <cfRule type="cellIs" dxfId="22" priority="20" operator="greaterThan">
      <formula>60</formula>
    </cfRule>
  </conditionalFormatting>
  <conditionalFormatting sqref="B228">
    <cfRule type="cellIs" dxfId="21" priority="19" operator="greaterThan">
      <formula>60</formula>
    </cfRule>
  </conditionalFormatting>
  <conditionalFormatting sqref="B216">
    <cfRule type="cellIs" dxfId="20" priority="18" operator="greaterThan">
      <formula>60</formula>
    </cfRule>
  </conditionalFormatting>
  <conditionalFormatting sqref="B204">
    <cfRule type="cellIs" dxfId="19" priority="17" operator="greaterThan">
      <formula>60</formula>
    </cfRule>
  </conditionalFormatting>
  <conditionalFormatting sqref="B192">
    <cfRule type="cellIs" dxfId="18" priority="16" operator="greaterThan">
      <formula>60</formula>
    </cfRule>
  </conditionalFormatting>
  <conditionalFormatting sqref="B180">
    <cfRule type="cellIs" dxfId="17" priority="15" operator="greaterThan">
      <formula>60</formula>
    </cfRule>
  </conditionalFormatting>
  <conditionalFormatting sqref="B168">
    <cfRule type="cellIs" dxfId="16" priority="14" operator="greaterThan">
      <formula>60</formula>
    </cfRule>
  </conditionalFormatting>
  <conditionalFormatting sqref="B156">
    <cfRule type="cellIs" dxfId="15" priority="13" operator="greaterThan">
      <formula>60</formula>
    </cfRule>
  </conditionalFormatting>
  <conditionalFormatting sqref="B144">
    <cfRule type="cellIs" dxfId="14" priority="12" operator="greaterThan">
      <formula>60</formula>
    </cfRule>
  </conditionalFormatting>
  <conditionalFormatting sqref="B132">
    <cfRule type="cellIs" dxfId="13" priority="11" operator="greaterThan">
      <formula>60</formula>
    </cfRule>
  </conditionalFormatting>
  <conditionalFormatting sqref="B120">
    <cfRule type="cellIs" dxfId="12" priority="10" operator="greaterThan">
      <formula>60</formula>
    </cfRule>
  </conditionalFormatting>
  <conditionalFormatting sqref="B108">
    <cfRule type="cellIs" dxfId="11" priority="9" operator="greaterThan">
      <formula>60</formula>
    </cfRule>
  </conditionalFormatting>
  <conditionalFormatting sqref="B96">
    <cfRule type="cellIs" dxfId="10" priority="8" operator="greaterThan">
      <formula>60</formula>
    </cfRule>
  </conditionalFormatting>
  <conditionalFormatting sqref="B84">
    <cfRule type="cellIs" dxfId="9" priority="7" operator="greaterThan">
      <formula>60</formula>
    </cfRule>
  </conditionalFormatting>
  <conditionalFormatting sqref="B72">
    <cfRule type="cellIs" dxfId="8" priority="6" operator="greaterThan">
      <formula>60</formula>
    </cfRule>
  </conditionalFormatting>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operator="greaterThan" allowBlank="1" showInputMessage="1" showErrorMessage="1" errorTitle="Durée par tranche de 10min" error="Le nombre doit être de type entier" sqref="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56 B444 B432 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45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2021-03-11T15:29:50Z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