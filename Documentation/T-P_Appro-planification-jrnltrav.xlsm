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5" i="12"/>
  <c r="C4" i="12"/>
  <c r="C12" i="12"/>
  <c r="C17" i="12"/>
  <c r="C16" i="12"/>
  <c r="C24" i="12"/>
  <c r="B12" i="10" l="1"/>
  <c r="C11" i="10"/>
  <c r="C10" i="10"/>
  <c r="C9" i="10"/>
  <c r="C8" i="10"/>
  <c r="C7" i="10"/>
  <c r="C6" i="10"/>
  <c r="B24" i="10"/>
  <c r="C23" i="10"/>
  <c r="C22" i="10"/>
  <c r="C21" i="10"/>
  <c r="C20" i="10"/>
  <c r="C19" i="10"/>
  <c r="C18" i="10"/>
  <c r="C5" i="10"/>
  <c r="C4" i="10"/>
  <c r="C17" i="10"/>
  <c r="C16" i="10"/>
  <c r="C12" i="10"/>
  <c r="C24" i="10"/>
  <c r="B36" i="12" l="1"/>
  <c r="C35" i="12"/>
  <c r="C34" i="12"/>
  <c r="C33" i="12"/>
  <c r="C32" i="12"/>
  <c r="C31" i="12"/>
  <c r="B48" i="12"/>
  <c r="C47" i="12"/>
  <c r="C46" i="12"/>
  <c r="C45" i="12"/>
  <c r="C44" i="12"/>
  <c r="C43" i="12"/>
  <c r="C42" i="12"/>
  <c r="B36" i="10"/>
  <c r="C35" i="10"/>
  <c r="C34" i="10"/>
  <c r="C33" i="10"/>
  <c r="C32" i="10"/>
  <c r="C31" i="10"/>
  <c r="C30" i="10"/>
  <c r="B48" i="10"/>
  <c r="C47" i="10"/>
  <c r="C46" i="10"/>
  <c r="C45" i="10"/>
  <c r="C44" i="10"/>
  <c r="C43" i="10"/>
  <c r="C42" i="10"/>
  <c r="C30" i="12"/>
  <c r="C29" i="12"/>
  <c r="C28" i="12"/>
  <c r="C36" i="12"/>
  <c r="C41" i="12"/>
  <c r="C40" i="12"/>
  <c r="C48" i="12"/>
  <c r="C29" i="10"/>
  <c r="C28" i="10"/>
  <c r="C41" i="10"/>
  <c r="C40" i="10"/>
  <c r="C36" i="10"/>
  <c r="C48" i="10"/>
  <c r="B60" i="12" l="1"/>
  <c r="C59" i="12"/>
  <c r="C58" i="12"/>
  <c r="C57" i="12"/>
  <c r="C56" i="12"/>
  <c r="C55" i="12"/>
  <c r="C54" i="12"/>
  <c r="C53" i="12"/>
  <c r="C52" i="12"/>
  <c r="C60" i="12"/>
  <c r="B72" i="12" l="1"/>
  <c r="C71" i="12"/>
  <c r="C70" i="12"/>
  <c r="C69" i="12"/>
  <c r="C68" i="12"/>
  <c r="C67" i="12"/>
  <c r="C66" i="12"/>
  <c r="B60" i="10"/>
  <c r="C59" i="10"/>
  <c r="C58" i="10"/>
  <c r="C57" i="10"/>
  <c r="C56" i="10"/>
  <c r="C55" i="10"/>
  <c r="C54" i="10"/>
  <c r="B72" i="10"/>
  <c r="C71" i="10"/>
  <c r="C70" i="10"/>
  <c r="C69" i="10"/>
  <c r="C68" i="10"/>
  <c r="C67" i="10"/>
  <c r="C66" i="10"/>
  <c r="C65" i="12"/>
  <c r="C64" i="12"/>
  <c r="C72" i="12"/>
  <c r="C65" i="10"/>
  <c r="C64" i="10"/>
  <c r="C53" i="10"/>
  <c r="C52" i="10"/>
  <c r="C60" i="10"/>
  <c r="C72" i="10"/>
  <c r="B84" i="12" l="1"/>
  <c r="C83" i="12"/>
  <c r="C82" i="12"/>
  <c r="C81" i="12"/>
  <c r="C80" i="12"/>
  <c r="C79" i="12"/>
  <c r="C78" i="12"/>
  <c r="C77" i="12"/>
  <c r="C76" i="12"/>
  <c r="C84" i="12"/>
  <c r="B96" i="12" l="1"/>
  <c r="C95" i="12"/>
  <c r="C94" i="12"/>
  <c r="C93" i="12"/>
  <c r="C92" i="12"/>
  <c r="C91" i="12"/>
  <c r="C90" i="12"/>
  <c r="C89" i="12"/>
  <c r="C88" i="12"/>
  <c r="C96" i="12"/>
  <c r="B84" i="10" l="1"/>
  <c r="C83" i="10"/>
  <c r="C82" i="10"/>
  <c r="C81" i="10"/>
  <c r="C80" i="10"/>
  <c r="C79" i="10"/>
  <c r="C78" i="10"/>
  <c r="B96" i="10"/>
  <c r="C95" i="10"/>
  <c r="C94" i="10"/>
  <c r="C93" i="10"/>
  <c r="C92" i="10"/>
  <c r="C91" i="10"/>
  <c r="C90" i="10"/>
  <c r="B108" i="10"/>
  <c r="C107" i="10"/>
  <c r="C106" i="10"/>
  <c r="C105" i="10"/>
  <c r="C104" i="10"/>
  <c r="C103" i="10"/>
  <c r="C102" i="10"/>
  <c r="B108" i="12"/>
  <c r="C107" i="12"/>
  <c r="C106" i="12"/>
  <c r="C105" i="12"/>
  <c r="C104" i="12"/>
  <c r="C103" i="12"/>
  <c r="C102" i="12"/>
  <c r="C101" i="12"/>
  <c r="C100" i="12"/>
  <c r="C108" i="12"/>
  <c r="C84" i="10"/>
  <c r="C96" i="10"/>
  <c r="C100" i="10"/>
  <c r="C76" i="10"/>
  <c r="C89" i="10"/>
  <c r="C108" i="10"/>
  <c r="C88" i="10"/>
  <c r="C77" i="10"/>
  <c r="C101" i="10"/>
  <c r="B120" i="12" l="1"/>
  <c r="C119" i="12"/>
  <c r="C118" i="12"/>
  <c r="C117" i="12"/>
  <c r="C116" i="12"/>
  <c r="C115" i="12"/>
  <c r="C114" i="12"/>
  <c r="B132" i="12"/>
  <c r="C131" i="12"/>
  <c r="C130" i="12"/>
  <c r="C129" i="12"/>
  <c r="C128" i="12"/>
  <c r="C127" i="12"/>
  <c r="C126" i="12"/>
  <c r="C113" i="12"/>
  <c r="C112" i="12"/>
  <c r="C120" i="12"/>
  <c r="C125" i="12"/>
  <c r="C124" i="12"/>
  <c r="C132" i="12"/>
  <c r="B144" i="12" l="1"/>
  <c r="C143" i="12"/>
  <c r="C142" i="12"/>
  <c r="C141" i="12"/>
  <c r="C140" i="12"/>
  <c r="C139" i="12"/>
  <c r="C138" i="12"/>
  <c r="C137" i="12"/>
  <c r="C136" i="12"/>
  <c r="C144" i="12"/>
  <c r="B156" i="12" l="1"/>
  <c r="C155" i="12"/>
  <c r="C154" i="12"/>
  <c r="C153" i="12"/>
  <c r="C152" i="12"/>
  <c r="C151" i="12"/>
  <c r="C150" i="12"/>
  <c r="B168" i="12"/>
  <c r="C167" i="12"/>
  <c r="C166" i="12"/>
  <c r="C165" i="12"/>
  <c r="C164" i="12"/>
  <c r="C163" i="12"/>
  <c r="B120" i="10"/>
  <c r="C119" i="10"/>
  <c r="C118" i="10"/>
  <c r="C117" i="10"/>
  <c r="C116" i="10"/>
  <c r="C115" i="10"/>
  <c r="C114" i="10"/>
  <c r="B132" i="10"/>
  <c r="C131" i="10"/>
  <c r="C130" i="10"/>
  <c r="C129" i="10"/>
  <c r="C128" i="10"/>
  <c r="C127" i="10"/>
  <c r="C126" i="10"/>
  <c r="B144" i="10"/>
  <c r="C143" i="10"/>
  <c r="C142" i="10"/>
  <c r="C141" i="10"/>
  <c r="C140" i="10"/>
  <c r="C139" i="10"/>
  <c r="C138" i="10"/>
  <c r="B156" i="10"/>
  <c r="C155" i="10"/>
  <c r="C154" i="10"/>
  <c r="C153" i="10"/>
  <c r="C152" i="10"/>
  <c r="C151" i="10"/>
  <c r="C150" i="10"/>
  <c r="C149" i="12"/>
  <c r="C148" i="12"/>
  <c r="C162" i="12"/>
  <c r="C161" i="12"/>
  <c r="C160" i="12"/>
  <c r="C156" i="12"/>
  <c r="C168" i="12"/>
  <c r="C113" i="10"/>
  <c r="C120" i="10"/>
  <c r="C132" i="10"/>
  <c r="C125" i="10"/>
  <c r="C112" i="10"/>
  <c r="C144" i="10"/>
  <c r="C124" i="10"/>
  <c r="C156" i="10"/>
  <c r="C136" i="10"/>
  <c r="C137" i="10"/>
  <c r="C149" i="10"/>
  <c r="C148" i="10"/>
  <c r="B168" i="10" l="1"/>
  <c r="C167" i="10"/>
  <c r="C166" i="10"/>
  <c r="C165" i="10"/>
  <c r="C164" i="10"/>
  <c r="C163" i="10"/>
  <c r="B180" i="10"/>
  <c r="C179" i="10"/>
  <c r="C178" i="10"/>
  <c r="C177" i="10"/>
  <c r="C176" i="10"/>
  <c r="C175" i="10"/>
  <c r="C174" i="10"/>
  <c r="B180" i="12"/>
  <c r="C179" i="12"/>
  <c r="C178" i="12"/>
  <c r="C177" i="12"/>
  <c r="C176" i="12"/>
  <c r="C175" i="12"/>
  <c r="C174" i="12"/>
  <c r="C173" i="12"/>
  <c r="C172" i="12"/>
  <c r="C180" i="12"/>
  <c r="C160" i="10"/>
  <c r="C173" i="10"/>
  <c r="C168" i="10"/>
  <c r="C172" i="10"/>
  <c r="C180" i="10"/>
  <c r="C162" i="10"/>
  <c r="C161" i="10"/>
  <c r="B192" i="12" l="1"/>
  <c r="C191" i="12"/>
  <c r="C190" i="12"/>
  <c r="C189" i="12"/>
  <c r="C188" i="12"/>
  <c r="C187" i="12"/>
  <c r="C186" i="12"/>
  <c r="B204" i="12"/>
  <c r="C203" i="12"/>
  <c r="C202" i="12"/>
  <c r="C201" i="12"/>
  <c r="C200" i="12"/>
  <c r="C199" i="12"/>
  <c r="C198" i="12"/>
  <c r="C185" i="12"/>
  <c r="C184" i="12"/>
  <c r="C192" i="12"/>
  <c r="C197" i="12"/>
  <c r="C196" i="12"/>
  <c r="C204" i="12"/>
  <c r="B216" i="12" l="1"/>
  <c r="C215" i="12"/>
  <c r="C214" i="12"/>
  <c r="C213" i="12"/>
  <c r="C212" i="12"/>
  <c r="C211" i="12"/>
  <c r="C210" i="12"/>
  <c r="B228" i="12"/>
  <c r="C227" i="12"/>
  <c r="C226" i="12"/>
  <c r="C225" i="12"/>
  <c r="C224" i="12"/>
  <c r="C223" i="12"/>
  <c r="C222" i="12"/>
  <c r="C209" i="12"/>
  <c r="C208" i="12"/>
  <c r="C216" i="12"/>
  <c r="C221" i="12"/>
  <c r="C220" i="12"/>
  <c r="C228" i="12"/>
  <c r="B240" i="12" l="1"/>
  <c r="C239" i="12"/>
  <c r="C238" i="12"/>
  <c r="C237" i="12"/>
  <c r="C236" i="12"/>
  <c r="C235" i="12"/>
  <c r="C234" i="12"/>
  <c r="C233" i="12"/>
  <c r="C232" i="12"/>
  <c r="C240" i="12"/>
  <c r="B252" i="12" l="1"/>
  <c r="C251" i="12"/>
  <c r="C250" i="12"/>
  <c r="C249" i="12"/>
  <c r="C248" i="12"/>
  <c r="C247" i="12"/>
  <c r="B192" i="10"/>
  <c r="C191" i="10"/>
  <c r="C190" i="10"/>
  <c r="C189" i="10"/>
  <c r="C188" i="10"/>
  <c r="C187" i="10"/>
  <c r="C186" i="10"/>
  <c r="B204" i="10"/>
  <c r="C203" i="10"/>
  <c r="C202" i="10"/>
  <c r="C201" i="10"/>
  <c r="C200" i="10"/>
  <c r="C199" i="10"/>
  <c r="C198" i="10"/>
  <c r="B216" i="10"/>
  <c r="C215" i="10"/>
  <c r="C214" i="10"/>
  <c r="C213" i="10"/>
  <c r="C212" i="10"/>
  <c r="C211" i="10"/>
  <c r="C210" i="10"/>
  <c r="B228" i="10"/>
  <c r="C227" i="10"/>
  <c r="C226" i="10"/>
  <c r="C225" i="10"/>
  <c r="C224" i="10"/>
  <c r="C223" i="10"/>
  <c r="C222" i="10"/>
  <c r="B240" i="10"/>
  <c r="C239" i="10"/>
  <c r="C238" i="10"/>
  <c r="C237" i="10"/>
  <c r="C236" i="10"/>
  <c r="C235" i="10"/>
  <c r="C234" i="10"/>
  <c r="B252" i="10"/>
  <c r="C251" i="10"/>
  <c r="C250" i="10"/>
  <c r="C249" i="10"/>
  <c r="C248" i="10"/>
  <c r="C247" i="10"/>
  <c r="C246" i="10"/>
  <c r="C245" i="10"/>
  <c r="B264" i="10"/>
  <c r="C263" i="10"/>
  <c r="C262" i="10"/>
  <c r="C261" i="10"/>
  <c r="C260" i="10"/>
  <c r="C259" i="10"/>
  <c r="C258" i="10"/>
  <c r="C257" i="10"/>
  <c r="B264" i="12"/>
  <c r="C263" i="12"/>
  <c r="C262" i="12"/>
  <c r="C261" i="12"/>
  <c r="C260" i="12"/>
  <c r="C259" i="12"/>
  <c r="C258" i="12"/>
  <c r="C257" i="12"/>
  <c r="C246" i="12"/>
  <c r="C245" i="12"/>
  <c r="C244" i="12"/>
  <c r="C252" i="12"/>
  <c r="C256" i="12"/>
  <c r="C264" i="12"/>
  <c r="C244" i="10"/>
  <c r="C216" i="10"/>
  <c r="C204" i="10"/>
  <c r="C252" i="10"/>
  <c r="C221" i="10"/>
  <c r="C196" i="10"/>
  <c r="C256" i="10"/>
  <c r="C220" i="10"/>
  <c r="C264" i="10"/>
  <c r="C185" i="10"/>
  <c r="C192" i="10"/>
  <c r="C232" i="10"/>
  <c r="C184" i="10"/>
  <c r="C208" i="10"/>
  <c r="C228" i="10"/>
  <c r="C240" i="10"/>
  <c r="C233" i="10"/>
  <c r="C209" i="10"/>
  <c r="C197" i="10"/>
  <c r="B276" i="12" l="1"/>
  <c r="C275" i="12"/>
  <c r="C274" i="12"/>
  <c r="C273" i="12"/>
  <c r="C272" i="12"/>
  <c r="C271" i="12"/>
  <c r="C270" i="12"/>
  <c r="C269" i="12"/>
  <c r="C268" i="12"/>
  <c r="C276" i="12"/>
  <c r="B288" i="12" l="1"/>
  <c r="C287" i="12"/>
  <c r="C286" i="12"/>
  <c r="C285" i="12"/>
  <c r="C284" i="12"/>
  <c r="C283" i="12"/>
  <c r="C282" i="12"/>
  <c r="C281" i="12"/>
  <c r="C280" i="12"/>
  <c r="C288" i="12"/>
  <c r="B300" i="12" l="1"/>
  <c r="C299" i="12"/>
  <c r="C298" i="12"/>
  <c r="C297" i="12"/>
  <c r="C296" i="12"/>
  <c r="C295" i="12"/>
  <c r="C294" i="12"/>
  <c r="C293" i="12"/>
  <c r="C292" i="12"/>
  <c r="C300" i="12"/>
  <c r="B312" i="12" l="1"/>
  <c r="C311" i="12"/>
  <c r="C310" i="12"/>
  <c r="C309" i="12"/>
  <c r="C308" i="12"/>
  <c r="C307" i="12"/>
  <c r="C306" i="12"/>
  <c r="C304" i="12"/>
  <c r="C305" i="12"/>
  <c r="C312" i="12"/>
  <c r="B324" i="12" l="1"/>
  <c r="C323" i="12"/>
  <c r="C322" i="12"/>
  <c r="C321" i="12"/>
  <c r="C320" i="12"/>
  <c r="C319" i="12"/>
  <c r="C318" i="12"/>
  <c r="B336" i="12"/>
  <c r="C335" i="12"/>
  <c r="C334" i="12"/>
  <c r="C333" i="12"/>
  <c r="C332" i="12"/>
  <c r="C331" i="12"/>
  <c r="B348" i="12"/>
  <c r="C347" i="12"/>
  <c r="C346" i="12"/>
  <c r="C345" i="12"/>
  <c r="C344" i="12"/>
  <c r="C329" i="12"/>
  <c r="C336" i="12"/>
  <c r="C324" i="12"/>
  <c r="C348" i="12"/>
  <c r="C317" i="12"/>
  <c r="C341" i="12"/>
  <c r="C328" i="12"/>
  <c r="C342" i="12"/>
  <c r="C343" i="12"/>
  <c r="C330" i="12"/>
  <c r="C340" i="12"/>
  <c r="C316" i="12"/>
  <c r="B276" i="10" l="1"/>
  <c r="C275" i="10"/>
  <c r="C274" i="10"/>
  <c r="C273" i="10"/>
  <c r="C272" i="10"/>
  <c r="C271" i="10"/>
  <c r="C270" i="10"/>
  <c r="B288" i="10"/>
  <c r="C287" i="10"/>
  <c r="C286" i="10"/>
  <c r="C285" i="10"/>
  <c r="C284" i="10"/>
  <c r="C283" i="10"/>
  <c r="C282" i="10"/>
  <c r="C281" i="10"/>
  <c r="B300" i="10"/>
  <c r="C299" i="10"/>
  <c r="C298" i="10"/>
  <c r="C297" i="10"/>
  <c r="C296" i="10"/>
  <c r="C295" i="10"/>
  <c r="B312" i="10"/>
  <c r="C311" i="10"/>
  <c r="C310" i="10"/>
  <c r="C309" i="10"/>
  <c r="C308" i="10"/>
  <c r="C307" i="10"/>
  <c r="C306" i="10"/>
  <c r="C305" i="10"/>
  <c r="B324" i="10"/>
  <c r="C323" i="10"/>
  <c r="C322" i="10"/>
  <c r="C321" i="10"/>
  <c r="C320" i="10"/>
  <c r="C319" i="10"/>
  <c r="B336" i="10"/>
  <c r="C335" i="10"/>
  <c r="C334" i="10"/>
  <c r="C333" i="10"/>
  <c r="C332" i="10"/>
  <c r="C331" i="10"/>
  <c r="C330" i="10"/>
  <c r="B348" i="10"/>
  <c r="C347" i="10"/>
  <c r="C346" i="10"/>
  <c r="C345" i="10"/>
  <c r="C344" i="10"/>
  <c r="C343" i="10"/>
  <c r="C342" i="10"/>
  <c r="C280" i="10"/>
  <c r="C293" i="10"/>
  <c r="C317" i="10"/>
  <c r="C276" i="10"/>
  <c r="C304" i="10"/>
  <c r="C318" i="10"/>
  <c r="C341" i="10"/>
  <c r="C300" i="10"/>
  <c r="C268" i="10"/>
  <c r="C340" i="10"/>
  <c r="C288" i="10"/>
  <c r="C312" i="10"/>
  <c r="C324" i="10"/>
  <c r="C269" i="10"/>
  <c r="C316" i="10"/>
  <c r="C294" i="10"/>
  <c r="C292" i="10"/>
  <c r="C348" i="10"/>
  <c r="C336" i="10"/>
  <c r="B360" i="12" l="1"/>
  <c r="C359" i="12"/>
  <c r="C358" i="12"/>
  <c r="C357" i="12"/>
  <c r="C356" i="12"/>
  <c r="C355" i="12"/>
  <c r="B372" i="12"/>
  <c r="C371" i="12"/>
  <c r="C370" i="12"/>
  <c r="C369" i="12"/>
  <c r="C368" i="12"/>
  <c r="C367" i="12"/>
  <c r="C366" i="12"/>
  <c r="C354" i="12"/>
  <c r="C364" i="12"/>
  <c r="C360" i="12"/>
  <c r="C372" i="12"/>
  <c r="C352" i="12"/>
  <c r="C365" i="12"/>
  <c r="C353" i="12"/>
  <c r="B384" i="12" l="1"/>
  <c r="C383" i="12"/>
  <c r="C382" i="12"/>
  <c r="C381" i="12"/>
  <c r="C380" i="12"/>
  <c r="C379" i="12"/>
  <c r="C378" i="12"/>
  <c r="C376" i="12"/>
  <c r="C377" i="12"/>
  <c r="C384" i="12"/>
  <c r="B396" i="12" l="1"/>
  <c r="C395" i="12"/>
  <c r="C394" i="12"/>
  <c r="C393" i="12"/>
  <c r="C392" i="12"/>
  <c r="C389" i="12"/>
  <c r="C396" i="12"/>
  <c r="C391" i="12"/>
  <c r="C390" i="12"/>
  <c r="C388" i="12"/>
  <c r="B360" i="10" l="1"/>
  <c r="C359" i="10"/>
  <c r="C358" i="10"/>
  <c r="C357" i="10"/>
  <c r="C356" i="10"/>
  <c r="C355" i="10"/>
  <c r="C354" i="10"/>
  <c r="B372" i="10"/>
  <c r="C371" i="10"/>
  <c r="C370" i="10"/>
  <c r="C369" i="10"/>
  <c r="C368" i="10"/>
  <c r="C367" i="10"/>
  <c r="C366" i="10"/>
  <c r="C365" i="10"/>
  <c r="B384" i="10"/>
  <c r="C383" i="10"/>
  <c r="C382" i="10"/>
  <c r="C381" i="10"/>
  <c r="C380" i="10"/>
  <c r="C379" i="10"/>
  <c r="B396" i="10"/>
  <c r="C395" i="10"/>
  <c r="C394" i="10"/>
  <c r="C393" i="10"/>
  <c r="C392" i="10"/>
  <c r="C377" i="10"/>
  <c r="C352" i="10"/>
  <c r="C372" i="10"/>
  <c r="C364" i="10"/>
  <c r="C376" i="10"/>
  <c r="C388" i="10"/>
  <c r="C389" i="10"/>
  <c r="C391" i="10"/>
  <c r="C384" i="10"/>
  <c r="C353" i="10"/>
  <c r="C360" i="10"/>
  <c r="C378" i="10"/>
  <c r="C390" i="10"/>
  <c r="C396" i="10"/>
  <c r="B408" i="12" l="1"/>
  <c r="C407" i="12"/>
  <c r="C406" i="12"/>
  <c r="C405" i="12"/>
  <c r="C404" i="12"/>
  <c r="C403" i="12"/>
  <c r="C402" i="12"/>
  <c r="B420" i="12"/>
  <c r="C419" i="12"/>
  <c r="C418" i="12"/>
  <c r="C417" i="12"/>
  <c r="B408" i="10"/>
  <c r="C407" i="10"/>
  <c r="C406" i="10"/>
  <c r="C405" i="10"/>
  <c r="C404" i="10"/>
  <c r="C403" i="10"/>
  <c r="C402" i="10"/>
  <c r="B420" i="10"/>
  <c r="C419" i="10"/>
  <c r="C418" i="10"/>
  <c r="C417" i="10"/>
  <c r="C400" i="12"/>
  <c r="C401" i="12"/>
  <c r="C416" i="12"/>
  <c r="C413" i="12"/>
  <c r="C414" i="12"/>
  <c r="C408" i="12"/>
  <c r="C420" i="12"/>
  <c r="C412" i="12"/>
  <c r="C415" i="12"/>
  <c r="C412" i="10"/>
  <c r="C415" i="10"/>
  <c r="C420" i="10"/>
  <c r="C414" i="10"/>
  <c r="C408" i="10"/>
  <c r="C413" i="10"/>
  <c r="C416" i="10"/>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<sst xmlns="http://schemas.openxmlformats.org/spreadsheetml/2006/main" count="1284" uniqueCount="219">
  <si>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</si>
  <si>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</si>
  <si>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</si>
  <si>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</si>
  <si>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</si>
  <si>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</si>
  <si>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</si>
  <si>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</si>
  <si>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</si>
  <si>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</si>
  <si>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</si>
  <si>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</si>
  <si>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</si>
  <si>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</si>
  <si>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</si>
  <si>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</si>
  <si>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</si>
  <si>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</si>
  <si>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</si>
  <si>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</si>
  <si>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</si>
  <si>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</si>
  <si>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</si>
  <si>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</si>
  <si>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</si>
  <si>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</si>
  <si>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</si>
  <si>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</si>
  <si>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</si>
  <si>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</si>
  <si>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</si>
  <si>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</si>
  <si>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</si>
  <si>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</si>
  <si>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</si>
  <si>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</si>
  <si>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</si>
  <si>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</si>
  <si>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</si>
  <si>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</si>
  <si>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</si>
  <si>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</si>
  <si>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</si>
  <si>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</si>
  <si>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</si>
  <si>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</si>
  <si>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</si>
  <si>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</si>
  <si>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</si>
  <si>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</si>
  <si>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</si>
  <si>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</si>
  <si>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</si>
  <si>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</si>
  <si>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</si>
  <si>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</si>
  <si>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</si>
  <si>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</si>
  <si>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</si>
  <si>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</si>
  <si>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</si>
  <si>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</si>
  <si>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</si>
  <si>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</si>
  <si>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</si>
  <si>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</si>
  <si>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</si>
  <si>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</si>
  <si>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</si>
  <si>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</si>
  <si>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</si>
  <si>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</si>
  <si>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</si>
  <si>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</si>
  <si>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</si>
  <si>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</si>
  <si>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</si>
  <si>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</si>
  <si>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</si>
  <si>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</si>
  <si>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</si>
  <si>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</si>
  <si>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</si>
  <si>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</si>
  <si>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</si>
  <si>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</si>
  <si>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</si>
  <si>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</si>
  <si>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</si>
  <si>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</si>
  <si>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</si>
  <si>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</si>
  <si>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</si>
  <si>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</si>
  <si>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</si>
  <si>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</si>
  <si>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</si>
  <si>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</si>
  <si>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</si>
  <si>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</si>
  <si>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</si>
  <si>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</si>
  <si>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</si>
  <si>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</si>
  <si>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</si>
  <si>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</si>
  <si>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</si>
  <si>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</si>
  <si>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</si>
  <si>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</si>
  <si>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</si>
  <si>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</si>
  <si>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</si>
  <si>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</si>
  <si>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</si>
  <si>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</si>
  <si>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</si>
  <si>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</si>
  <si>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</si>
  <si>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</si>
  <si>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</si>
  <si>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</si>
  <si>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</si>
  <si>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</si>
  <si>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</si>
  <si>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</si>
  <si>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</si>
  <si>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</si>
  <si>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</si>
  <si>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</si>
  <si>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</si>
  <si>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</si>
  <si>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</si>
  <si>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</si>
  <si>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</si>
  <si>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</si>
  <si>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</si>
  <si>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</si>
  <si>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</si>
  <si>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</si>
  <si>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</si>
  <si>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</si>
  <si>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</si>
  <si>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</si>
  <si>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</si>
  <si>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</si>
  <si>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</si>
  <si>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</si>
  <si>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</si>
  <si>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</si>
  <si>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</si>
  <si>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</si>
  <si>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</si>
  <si>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</si>
  <si>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</si>
  <si>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</si>
  <si>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</si>
  <si>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</si>
  <si>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</si>
  <si>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</si>
  <si>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</si>
  <si>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</si>
  <si>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</si>
  <si>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</si>
  <si>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</si>
  <si>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</si>
  <si>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</si>
  <si>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</si>
  <si>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</si>
  <si>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</si>
  <si>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</si>
  <si>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</si>
  <si>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</si>
  <si>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</si>
  <si>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</si>
  <si>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</si>
  <si>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</si>
  <si>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</si>
  <si>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</si>
  <si>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</si>
  <si>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</si>
  <si>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</si>
  <si>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</si>
  <si>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</si>
  <si>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</si>
  <si>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</si>
  <si>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</si>
  <si>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</si>
  <si>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</si>
  <si>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</si>
  <si>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</si>
  <si>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</si>
  <si>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</si>
  <si>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</si>
  <si>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</si>
  <si>
    <t>J'ai commencé à écrire le code pour calculer le nombre de vélos rendus/annoncés pour les trimestres, je ferais la même pour les statistiques sur l'année</t>
  </si>
  <si>
    <t>J'ai réglé des problèmes de CSS qui ont apparu suite à la modification de code dans le site</t>
  </si>
  <si>
    <t>Finition du design / css / etc… du site</t>
  </si>
  <si>
    <t>Remplir le rapport avec tous ce qui a été fait + faire les tests</t>
  </si>
  <si>
    <t>jeudi, 4 mars 2021</t>
  </si>
  <si>
    <t>Finis le code qui permet de récupérer le nombre de vélos rendus durant tous les trimestres de toutes les années et je l'affiche sur la main page</t>
  </si>
  <si>
    <t>J'ai mis en place les statistiques pour les différentes années sur la page principale</t>
  </si>
  <si>
    <t>J'ai dû régler différents bugs, par exemple avec l'upload de photos, lorsque les photos atteignent une certaine taille les fichiers ne passent pas et bizarrement la partie qui check la taille des fichiers n'arrive pas à détecter ça</t>
  </si>
  <si>
    <t>Le bouton pour insérer ne s'affiche plus quand un user non admin se connect</t>
  </si>
  <si>
    <t>Continuer a remplir le rapport + faire les tests</t>
  </si>
  <si>
    <t>Continuer a remplir le rapport</t>
  </si>
  <si>
    <t>vendredi, 5 mars 2021</t>
  </si>
  <si>
    <t>J'ai passé la majeure partie de la matinée à adapter le CSS pour que le site soit un peu plus propre et visible (enlever les var_dump(), aligner les textes, etc…) et j'ai créé la nav-bar que j'ai ajouté sur toutes les pages. J'ai également ajouté les vérifications si l'utilisateur a les accès modifier/annoncer là ou c'était nécessaires. Le bouton pour accéder aux modifications ne s'affiche plus si l'utilisateur n'a pas les accès</t>
  </si>
  <si>
    <t>App- Bug Testing</t>
  </si>
  <si>
    <t>Code - Commentaires</t>
  </si>
  <si>
    <t>J'ai passé une heure à rajouter des commentaires sur les parties du code qui n'étaient pas encore commentées</t>
  </si>
  <si>
    <t>J'ai recherché les différents bugs qui sont présents sur le site. J'ai par exemple essayé des injections SQL à partir de l'URL du site (avec les $_GET) et les forms et malheureusement elles ont passées. Ça ma permit de détecter ou sont les problèmes avec le site. Je m'occuperais de patché ces erreurs avec des vérifications, Regex, etc...</t>
  </si>
  <si>
    <t>Correction des problèmes avec les requêtes SQL et les problèmes de sécurité</t>
  </si>
  <si>
    <t xml:space="preserve">Correction des bugs </t>
  </si>
  <si>
    <t>Ecriture des commentaires</t>
  </si>
  <si>
    <t>lundi, 8 mars 2021</t>
  </si>
  <si>
    <t>Passé la matinée à chercher et régler les bugs/faille de sécurité qu'il y'a dans mon code</t>
  </si>
  <si>
    <t>mercredi, 10 mars 2021</t>
  </si>
  <si>
    <t>J'ai passé toute la matinée à réécrire en grande partie mon "model" à cause des énormes faille de sécurité qui permettait de faire des injections SQL. J'ai dû changer les fonctions qui executaient les requêtes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</si>
</sst>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7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0" zoomScale="55" zoomScaleNormal="55" zoomScaleSheetLayoutView="10" zoomScalePageLayoutView="10" workbookViewId="0">
      <selection activeCell="C53" sqref="C53:C5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App- Bug Testing</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Code - Commentaires</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t="s">
        <v>208</v>
      </c>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t="s">
        <v>209</v>
      </c>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421"/>
  <sheetViews>
    <sheetView showGridLines="0" topLeftCell="E1" zoomScaleNormal="100" zoomScaleSheetLayoutView="98" workbookViewId="0">
      <pane ySplit="1" topLeftCell="A412" activePane="bottomLeft" state="frozen"/>
      <selection activeCell="BC13" sqref="BC13"/>
      <selection pane="bottomLeft" activeCell="G421" sqref="G421"/>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35</v>
      </c>
      <c r="C2" s="162"/>
      <c r="D2" s="81" t="s">
        <v>14</v>
      </c>
      <c r="E2" s="93">
        <v>44265</v>
      </c>
      <c r="F2" s="125" t="s">
        <v>74</v>
      </c>
      <c r="G2" s="45"/>
    </row>
    <row r="3" spans="1:7" s="46" customFormat="1" ht="30" customHeight="1" thickBot="1">
      <c r="A3" s="79" t="s">
        <v>4</v>
      </c>
      <c r="B3" s="149" t="s">
        <v>38</v>
      </c>
      <c r="C3" s="150"/>
      <c r="D3" s="79" t="s">
        <v>12</v>
      </c>
      <c r="E3" s="237" t="s">
        <v>13</v>
      </c>
      <c r="F3" s="238"/>
      <c r="G3" s="45"/>
    </row>
    <row r="4" spans="1:7" s="51" customFormat="1">
      <c r="A4" s="47" t="s">
        <v>208</v>
      </c>
      <c r="B4" s="48">
        <v>18</v>
      </c>
      <c r="C4" s="151" t="str">
        <f xml:space="preserve"> IF(B4="","",setValueToTime(B4))</f>
        <v>1h30min</v>
      </c>
      <c r="D4" s="165" t="s">
        <v>213</v>
      </c>
      <c r="E4" s="239"/>
      <c r="F4" s="240"/>
      <c r="G4" s="50"/>
    </row>
    <row r="5" spans="1:7" s="51" customFormat="1">
      <c r="A5" s="52" t="s">
        <v>209</v>
      </c>
      <c r="B5" s="53">
        <v>18</v>
      </c>
      <c r="C5" s="152" t="str">
        <f t="shared" ref="C5:C11" si="0" xml:space="preserve"> IF(B5="","",setValueToTime(B5))</f>
        <v>1h30min</v>
      </c>
      <c r="D5" s="166" t="s">
        <v>214</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34</v>
      </c>
      <c r="C14" s="162"/>
      <c r="D14" s="81" t="s">
        <v>14</v>
      </c>
      <c r="E14" s="93">
        <v>44263</v>
      </c>
      <c r="F14" s="125" t="s">
        <v>74</v>
      </c>
      <c r="G14" s="45"/>
    </row>
    <row r="15" spans="1:7" s="46" customFormat="1" ht="30" customHeight="1" thickBot="1">
      <c r="A15" s="79" t="s">
        <v>4</v>
      </c>
      <c r="B15" s="149" t="s">
        <v>38</v>
      </c>
      <c r="C15" s="150"/>
      <c r="D15" s="79" t="s">
        <v>12</v>
      </c>
      <c r="E15" s="237" t="s">
        <v>13</v>
      </c>
      <c r="F15" s="238"/>
      <c r="G15" s="45"/>
    </row>
    <row r="16" spans="1:7" s="51" customFormat="1">
      <c r="A16" s="47" t="s">
        <v>208</v>
      </c>
      <c r="B16" s="48">
        <v>33</v>
      </c>
      <c r="C16" s="151" t="str">
        <f xml:space="preserve"> IF(B16="","",setValueToTime(B16))</f>
        <v>2h45min</v>
      </c>
      <c r="D16" s="165" t="s">
        <v>212</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33</v>
      </c>
      <c r="C26" s="162"/>
      <c r="D26" s="81" t="s">
        <v>14</v>
      </c>
      <c r="E26" s="93">
        <v>44260</v>
      </c>
      <c r="F26" s="125" t="s">
        <v>75</v>
      </c>
      <c r="G26" s="45"/>
    </row>
    <row r="27" spans="1:7" s="46" customFormat="1" ht="30" customHeight="1" thickBot="1">
      <c r="A27" s="79" t="s">
        <v>4</v>
      </c>
      <c r="B27" s="149" t="s">
        <v>38</v>
      </c>
      <c r="C27" s="150"/>
      <c r="D27" s="79" t="s">
        <v>12</v>
      </c>
      <c r="E27" s="237" t="s">
        <v>13</v>
      </c>
      <c r="F27" s="238"/>
      <c r="G27" s="45"/>
    </row>
    <row r="28" spans="1:7" s="51" customFormat="1">
      <c r="A28" s="47" t="s">
        <v>50</v>
      </c>
      <c r="B28" s="48">
        <v>33</v>
      </c>
      <c r="C28" s="151" t="str">
        <f xml:space="preserve"> IF(B28="","",setValueToTime(B28))</f>
        <v>2h45min</v>
      </c>
      <c r="D28" s="165" t="s">
        <v>205</v>
      </c>
      <c r="E28" s="239"/>
      <c r="F28" s="240"/>
      <c r="G28" s="50"/>
    </row>
    <row r="29" spans="1:7" s="51" customFormat="1">
      <c r="A29" s="52" t="s">
        <v>15</v>
      </c>
      <c r="B29" s="53">
        <v>3</v>
      </c>
      <c r="C29" s="152" t="str">
        <f t="shared" ref="C29:C35" si="2" xml:space="preserve"> IF(B29="","",setValueToTime(B29))</f>
        <v>0h15min</v>
      </c>
      <c r="D29" s="166" t="s">
        <v>151</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32</v>
      </c>
      <c r="C38" s="162"/>
      <c r="D38" s="81" t="s">
        <v>14</v>
      </c>
      <c r="E38" s="93">
        <v>44260</v>
      </c>
      <c r="F38" s="125" t="s">
        <v>74</v>
      </c>
      <c r="G38" s="45"/>
    </row>
    <row r="39" spans="1:7" s="46" customFormat="1" ht="30" customHeight="1" thickBot="1">
      <c r="A39" s="79" t="s">
        <v>4</v>
      </c>
      <c r="B39" s="149" t="s">
        <v>38</v>
      </c>
      <c r="C39" s="150"/>
      <c r="D39" s="79" t="s">
        <v>12</v>
      </c>
      <c r="E39" s="237" t="s">
        <v>13</v>
      </c>
      <c r="F39" s="238"/>
      <c r="G39" s="45"/>
    </row>
    <row r="40" spans="1:7" s="51" customFormat="1">
      <c r="A40" s="47" t="s">
        <v>50</v>
      </c>
      <c r="B40" s="48">
        <v>33</v>
      </c>
      <c r="C40" s="151" t="str">
        <f xml:space="preserve"> IF(B40="","",setValueToTime(B40))</f>
        <v>2h45min</v>
      </c>
      <c r="D40" s="165" t="s">
        <v>204</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36</v>
      </c>
      <c r="C48" s="110" t="str">
        <f xml:space="preserve"> setValueToTime(B48)</f>
        <v>3h</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31</v>
      </c>
      <c r="C50" s="162"/>
      <c r="D50" s="81" t="s">
        <v>14</v>
      </c>
      <c r="E50" s="93">
        <v>44259</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33</v>
      </c>
      <c r="C52" s="151" t="str">
        <f xml:space="preserve"> IF(B52="","",setValueToTime(B52))</f>
        <v>2h45min</v>
      </c>
      <c r="D52" s="165" t="s">
        <v>198</v>
      </c>
      <c r="E52" s="239"/>
      <c r="F52" s="240"/>
      <c r="G52" s="50"/>
    </row>
    <row r="53" spans="1:7" s="51" customFormat="1">
      <c r="A53" s="52" t="s">
        <v>15</v>
      </c>
      <c r="B53" s="53">
        <v>3</v>
      </c>
      <c r="C53" s="152" t="str">
        <f xml:space="preserve"> IF(B53="","",setValueToTime(B53))</f>
        <v>0h15min</v>
      </c>
      <c r="D53" s="166" t="s">
        <v>106</v>
      </c>
      <c r="E53" s="241"/>
      <c r="F53" s="242"/>
      <c r="G53" s="50"/>
    </row>
    <row r="54" spans="1:7" s="51" customFormat="1">
      <c r="A54" s="52"/>
      <c r="B54" s="53"/>
      <c r="C54" s="152" t="str">
        <f t="shared" ref="C54:C59" si="4" xml:space="preserve"> IF(B54="","",setValueToTime(B54))</f>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30</v>
      </c>
      <c r="C62" s="162"/>
      <c r="D62" s="81" t="s">
        <v>14</v>
      </c>
      <c r="E62" s="93">
        <v>44259</v>
      </c>
      <c r="F62" s="125" t="s">
        <v>74</v>
      </c>
      <c r="G62" s="45"/>
    </row>
    <row r="63" spans="1:7" s="46" customFormat="1" ht="30" customHeight="1" thickBot="1">
      <c r="A63" s="79" t="s">
        <v>4</v>
      </c>
      <c r="B63" s="149" t="s">
        <v>38</v>
      </c>
      <c r="C63" s="150"/>
      <c r="D63" s="79" t="s">
        <v>12</v>
      </c>
      <c r="E63" s="237" t="s">
        <v>13</v>
      </c>
      <c r="F63" s="238"/>
      <c r="G63" s="45"/>
    </row>
    <row r="64" spans="1:7" s="51" customFormat="1">
      <c r="A64" s="47" t="s">
        <v>66</v>
      </c>
      <c r="B64" s="48">
        <v>42</v>
      </c>
      <c r="C64" s="151" t="str">
        <f xml:space="preserve"> IF(B64="","",setValueToTime(B64))</f>
        <v>3h30min</v>
      </c>
      <c r="D64" s="165" t="s">
        <v>197</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29</v>
      </c>
      <c r="C74" s="162"/>
      <c r="D74" s="81" t="s">
        <v>14</v>
      </c>
      <c r="E74" s="93">
        <v>44258</v>
      </c>
      <c r="F74" s="125" t="s">
        <v>75</v>
      </c>
      <c r="G74" s="45"/>
    </row>
    <row r="75" spans="1:7" s="46" customFormat="1" ht="30" customHeight="1" thickBot="1">
      <c r="A75" s="79" t="s">
        <v>4</v>
      </c>
      <c r="B75" s="149" t="s">
        <v>38</v>
      </c>
      <c r="C75" s="150"/>
      <c r="D75" s="79" t="s">
        <v>12</v>
      </c>
      <c r="E75" s="237" t="s">
        <v>13</v>
      </c>
      <c r="F75" s="238"/>
      <c r="G75" s="45"/>
    </row>
    <row r="76" spans="1:7" s="51" customFormat="1">
      <c r="A76" s="47" t="s">
        <v>50</v>
      </c>
      <c r="B76" s="48">
        <v>33</v>
      </c>
      <c r="C76" s="151" t="str">
        <f xml:space="preserve"> IF(B76="","",setValueToTime(B76))</f>
        <v>2h45min</v>
      </c>
      <c r="D76" s="165" t="s">
        <v>189</v>
      </c>
      <c r="E76" s="239"/>
      <c r="F76" s="240"/>
      <c r="G76" s="50"/>
    </row>
    <row r="77" spans="1:7" s="51" customFormat="1">
      <c r="A77" s="52" t="s">
        <v>15</v>
      </c>
      <c r="B77" s="53">
        <v>3</v>
      </c>
      <c r="C77" s="152" t="str">
        <f t="shared" ref="C77:C83" si="6" xml:space="preserve"> IF(B77="","",setValueToTime(B77))</f>
        <v>0h15min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28</v>
      </c>
      <c r="C86" s="162"/>
      <c r="D86" s="81" t="s">
        <v>14</v>
      </c>
      <c r="E86" s="93">
        <v>44258</v>
      </c>
      <c r="F86" s="125" t="s">
        <v>74</v>
      </c>
      <c r="G86" s="45"/>
    </row>
    <row r="87" spans="1:7" s="46" customFormat="1" ht="30" customHeight="1" thickBot="1">
      <c r="A87" s="79" t="s">
        <v>4</v>
      </c>
      <c r="B87" s="149" t="s">
        <v>38</v>
      </c>
      <c r="C87" s="150"/>
      <c r="D87" s="79" t="s">
        <v>12</v>
      </c>
      <c r="E87" s="237" t="s">
        <v>13</v>
      </c>
      <c r="F87" s="238"/>
      <c r="G87" s="45"/>
    </row>
    <row r="88" spans="1:7" s="51" customFormat="1">
      <c r="A88" s="47" t="s">
        <v>63</v>
      </c>
      <c r="B88" s="48">
        <v>42</v>
      </c>
      <c r="C88" s="151" t="str">
        <f xml:space="preserve"> IF(B88="","",setValueToTime(B88))</f>
        <v>3h30min</v>
      </c>
      <c r="D88" s="165" t="s">
        <v>188</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45</v>
      </c>
      <c r="C96" s="110" t="str">
        <f xml:space="preserve"> setValueToTime(B96)</f>
        <v>3h45min</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27</v>
      </c>
      <c r="C98" s="162"/>
      <c r="D98" s="81" t="s">
        <v>14</v>
      </c>
      <c r="E98" s="93">
        <v>44256</v>
      </c>
      <c r="F98" s="125" t="s">
        <v>74</v>
      </c>
      <c r="G98" s="45"/>
    </row>
    <row r="99" spans="1:7" s="46" customFormat="1" ht="30" customHeight="1" thickBot="1">
      <c r="A99" s="79" t="s">
        <v>4</v>
      </c>
      <c r="B99" s="149" t="s">
        <v>38</v>
      </c>
      <c r="C99" s="150"/>
      <c r="D99" s="79" t="s">
        <v>12</v>
      </c>
      <c r="E99" s="237" t="s">
        <v>13</v>
      </c>
      <c r="F99" s="238"/>
      <c r="G99" s="45"/>
    </row>
    <row r="100" spans="1:7" s="51" customFormat="1">
      <c r="A100" s="47" t="s">
        <v>63</v>
      </c>
      <c r="B100" s="48">
        <v>33</v>
      </c>
      <c r="C100" s="151" t="str">
        <f xml:space="preserve"> IF(B100="","",setValueToTime(B100))</f>
        <v>2h45min</v>
      </c>
      <c r="D100" s="165" t="s">
        <v>187</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26</v>
      </c>
      <c r="C110" s="162"/>
      <c r="D110" s="81" t="s">
        <v>14</v>
      </c>
      <c r="E110" s="93">
        <v>44246</v>
      </c>
      <c r="F110" s="125" t="s">
        <v>75</v>
      </c>
      <c r="G110" s="45"/>
    </row>
    <row r="111" spans="1:7" s="46" customFormat="1" ht="30" customHeight="1" thickBot="1">
      <c r="A111" s="79" t="s">
        <v>4</v>
      </c>
      <c r="B111" s="149" t="s">
        <v>38</v>
      </c>
      <c r="C111" s="150"/>
      <c r="D111" s="79" t="s">
        <v>12</v>
      </c>
      <c r="E111" s="237" t="s">
        <v>13</v>
      </c>
      <c r="F111" s="238"/>
      <c r="G111" s="45"/>
    </row>
    <row r="112" spans="1:7" s="51" customFormat="1">
      <c r="A112" s="47" t="s">
        <v>66</v>
      </c>
      <c r="B112" s="48">
        <v>33</v>
      </c>
      <c r="C112" s="151" t="str">
        <f xml:space="preserve"> IF(B112="","",setValueToTime(B112))</f>
        <v>2h45min</v>
      </c>
      <c r="D112" s="165" t="s">
        <v>176</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25</v>
      </c>
      <c r="C122" s="162"/>
      <c r="D122" s="81" t="s">
        <v>14</v>
      </c>
      <c r="E122" s="93">
        <v>44246</v>
      </c>
      <c r="F122" s="125" t="s">
        <v>74</v>
      </c>
      <c r="G122" s="45"/>
    </row>
    <row r="123" spans="1:7" s="46" customFormat="1" ht="30" customHeight="1" thickBot="1">
      <c r="A123" s="79" t="s">
        <v>4</v>
      </c>
      <c r="B123" s="149" t="s">
        <v>38</v>
      </c>
      <c r="C123" s="150"/>
      <c r="D123" s="79" t="s">
        <v>12</v>
      </c>
      <c r="E123" s="237" t="s">
        <v>13</v>
      </c>
      <c r="F123" s="238"/>
      <c r="G123" s="45"/>
    </row>
    <row r="124" spans="1:7" s="51" customFormat="1" ht="27">
      <c r="A124" s="47" t="s">
        <v>117</v>
      </c>
      <c r="B124" s="48">
        <v>33</v>
      </c>
      <c r="C124" s="151" t="str">
        <f xml:space="preserve"> IF(B124="","",setValueToTime(B124))</f>
        <v>2h45min</v>
      </c>
      <c r="D124" s="165" t="s">
        <v>175</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24</v>
      </c>
      <c r="C134" s="162"/>
      <c r="D134" s="81" t="s">
        <v>14</v>
      </c>
      <c r="E134" s="93">
        <v>44245</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117</v>
      </c>
      <c r="B136" s="48">
        <v>33</v>
      </c>
      <c r="C136" s="151" t="str">
        <f xml:space="preserve"> IF(B136="","",setValueToTime(B136))</f>
        <v>2h45min</v>
      </c>
      <c r="D136" s="165" t="s">
        <v>174</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23</v>
      </c>
      <c r="C146" s="162"/>
      <c r="D146" s="81" t="s">
        <v>14</v>
      </c>
      <c r="E146" s="93">
        <v>44245</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117</v>
      </c>
      <c r="B148" s="48">
        <v>42</v>
      </c>
      <c r="C148" s="151" t="str">
        <f xml:space="preserve"> IF(B148="","",setValueToTime(B148))</f>
        <v>3h30min</v>
      </c>
      <c r="D148" s="165" t="s">
        <v>173</v>
      </c>
      <c r="E148" s="239"/>
      <c r="F148" s="240"/>
      <c r="G148" s="50"/>
    </row>
    <row r="149" spans="1:7" s="51" customFormat="1">
      <c r="A149" s="52" t="s">
        <v>15</v>
      </c>
      <c r="B149" s="53">
        <v>3</v>
      </c>
      <c r="C149" s="152" t="str">
        <f t="shared" ref="C149:C155" si="12" xml:space="preserve"> IF(B149="","",setValueToTime(B149))</f>
        <v>0h15min</v>
      </c>
      <c r="D149" s="166" t="s">
        <v>151</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45</v>
      </c>
      <c r="C156" s="110" t="str">
        <f xml:space="preserve"> setValueToTime(B156)</f>
        <v>3h45min</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22</v>
      </c>
      <c r="C158" s="162"/>
      <c r="D158" s="81" t="s">
        <v>14</v>
      </c>
      <c r="E158" s="93">
        <v>44244</v>
      </c>
      <c r="F158" s="125" t="s">
        <v>75</v>
      </c>
      <c r="G158" s="45"/>
    </row>
    <row r="159" spans="1:7" s="46" customFormat="1" ht="30" customHeight="1" thickBot="1">
      <c r="A159" s="79" t="s">
        <v>4</v>
      </c>
      <c r="B159" s="149" t="s">
        <v>38</v>
      </c>
      <c r="C159" s="150"/>
      <c r="D159" s="79" t="s">
        <v>12</v>
      </c>
      <c r="E159" s="237" t="s">
        <v>13</v>
      </c>
      <c r="F159" s="238"/>
      <c r="G159" s="45"/>
    </row>
    <row r="160" spans="1:7" s="51" customFormat="1">
      <c r="A160" s="47" t="s">
        <v>50</v>
      </c>
      <c r="B160" s="48">
        <v>18</v>
      </c>
      <c r="C160" s="151" t="str">
        <f xml:space="preserve"> IF(B160="","",setValueToTime(B160))</f>
        <v>1h30min</v>
      </c>
      <c r="D160" s="165" t="s">
        <v>170</v>
      </c>
      <c r="E160" s="239"/>
      <c r="F160" s="240"/>
      <c r="G160" s="50"/>
    </row>
    <row r="161" spans="1:7" s="51" customFormat="1">
      <c r="A161" s="52" t="s">
        <v>117</v>
      </c>
      <c r="B161" s="53">
        <v>15</v>
      </c>
      <c r="C161" s="152" t="str">
        <f t="shared" ref="C161:C167" si="13" xml:space="preserve"> IF(B161="","",setValueToTime(B161))</f>
        <v>1h15min</v>
      </c>
      <c r="D161" s="166" t="s">
        <v>171</v>
      </c>
      <c r="E161" s="241"/>
      <c r="F161" s="242"/>
      <c r="G161" s="50"/>
    </row>
    <row r="162" spans="1:7" s="51" customFormat="1">
      <c r="A162" s="52" t="s">
        <v>15</v>
      </c>
      <c r="B162" s="53">
        <v>3</v>
      </c>
      <c r="C162" s="152" t="str">
        <f t="shared" si="13"/>
        <v>0h15min</v>
      </c>
      <c r="D162" s="166" t="s">
        <v>106</v>
      </c>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21</v>
      </c>
      <c r="C170" s="162"/>
      <c r="D170" s="81" t="s">
        <v>14</v>
      </c>
      <c r="E170" s="93">
        <v>44244</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165</v>
      </c>
      <c r="B172" s="48">
        <v>42</v>
      </c>
      <c r="C172" s="151" t="str">
        <f xml:space="preserve"> IF(B172="","",setValueToTime(B172))</f>
        <v>3h30min</v>
      </c>
      <c r="D172" s="165" t="s">
        <v>169</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45</v>
      </c>
      <c r="C180" s="110" t="str">
        <f xml:space="preserve"> setValueToTime(B180)</f>
        <v>3h45min</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20</v>
      </c>
      <c r="C182" s="162"/>
      <c r="D182" s="81" t="s">
        <v>14</v>
      </c>
      <c r="E182" s="93">
        <v>44239</v>
      </c>
      <c r="F182" s="125" t="s">
        <v>75</v>
      </c>
      <c r="G182" s="45"/>
    </row>
    <row r="183" spans="1:7" s="46" customFormat="1" ht="30" customHeight="1" thickBot="1">
      <c r="A183" s="79" t="s">
        <v>4</v>
      </c>
      <c r="B183" s="149" t="s">
        <v>38</v>
      </c>
      <c r="C183" s="150"/>
      <c r="D183" s="79" t="s">
        <v>12</v>
      </c>
      <c r="E183" s="237" t="s">
        <v>13</v>
      </c>
      <c r="F183" s="238"/>
      <c r="G183" s="45"/>
    </row>
    <row r="184" spans="1:7" s="51" customFormat="1" ht="27">
      <c r="A184" s="47" t="s">
        <v>165</v>
      </c>
      <c r="B184" s="48">
        <v>34</v>
      </c>
      <c r="C184" s="151" t="str">
        <f xml:space="preserve"> IF(B184="","",setValueToTime(B184))</f>
        <v>2h50min</v>
      </c>
      <c r="D184" s="165" t="s">
        <v>166</v>
      </c>
      <c r="E184" s="239"/>
      <c r="F184" s="240"/>
      <c r="G184" s="50"/>
    </row>
    <row r="185" spans="1:7" s="51" customFormat="1">
      <c r="A185" s="52" t="s">
        <v>15</v>
      </c>
      <c r="B185" s="53">
        <v>2</v>
      </c>
      <c r="C185" s="152" t="str">
        <f t="shared" ref="C185:C191" si="15" xml:space="preserve"> IF(B185="","",setValueToTime(B185))</f>
        <v>0h10min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19</v>
      </c>
      <c r="C194" s="162"/>
      <c r="D194" s="81" t="s">
        <v>14</v>
      </c>
      <c r="E194" s="93">
        <v>44239</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50</v>
      </c>
      <c r="B196" s="48">
        <v>33</v>
      </c>
      <c r="C196" s="151" t="str">
        <f xml:space="preserve"> IF(B196="","",setValueToTime(B196))</f>
        <v>2h45min</v>
      </c>
      <c r="D196" s="165" t="s">
        <v>164</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18</v>
      </c>
      <c r="C206" s="162"/>
      <c r="D206" s="81" t="s">
        <v>14</v>
      </c>
      <c r="E206" s="93">
        <v>44238</v>
      </c>
      <c r="F206" s="125" t="s">
        <v>75</v>
      </c>
      <c r="G206" s="45"/>
    </row>
    <row r="207" spans="1:7" s="46" customFormat="1" ht="30" customHeight="1" thickBot="1">
      <c r="A207" s="79" t="s">
        <v>4</v>
      </c>
      <c r="B207" s="149" t="s">
        <v>38</v>
      </c>
      <c r="C207" s="150"/>
      <c r="D207" s="79" t="s">
        <v>12</v>
      </c>
      <c r="E207" s="237" t="s">
        <v>13</v>
      </c>
      <c r="F207" s="238"/>
      <c r="G207" s="45"/>
    </row>
    <row r="208" spans="1:7" s="51" customFormat="1">
      <c r="A208" s="47" t="s">
        <v>50</v>
      </c>
      <c r="B208" s="48">
        <v>33</v>
      </c>
      <c r="C208" s="151" t="str">
        <f xml:space="preserve"> IF(B208="","",setValueToTime(B208))</f>
        <v>2h45min</v>
      </c>
      <c r="D208" s="165" t="s">
        <v>161</v>
      </c>
      <c r="E208" s="239"/>
      <c r="F208" s="240"/>
      <c r="G208" s="50"/>
    </row>
    <row r="209" spans="1:7" s="51" customFormat="1">
      <c r="A209" s="52" t="s">
        <v>15</v>
      </c>
      <c r="B209" s="53">
        <v>3</v>
      </c>
      <c r="C209" s="152" t="str">
        <f t="shared" ref="C209:C215" si="17" xml:space="preserve"> IF(B209="","",setValueToTime(B209))</f>
        <v>0h15min</v>
      </c>
      <c r="D209" s="166" t="s">
        <v>151</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17</v>
      </c>
      <c r="C218" s="162"/>
      <c r="D218" s="81" t="s">
        <v>14</v>
      </c>
      <c r="E218" s="93">
        <v>44238</v>
      </c>
      <c r="F218" s="125" t="s">
        <v>74</v>
      </c>
      <c r="G218" s="45"/>
    </row>
    <row r="219" spans="1:7" s="46" customFormat="1" ht="30" customHeight="1" thickBot="1">
      <c r="A219" s="79" t="s">
        <v>4</v>
      </c>
      <c r="B219" s="149" t="s">
        <v>38</v>
      </c>
      <c r="C219" s="150"/>
      <c r="D219" s="79" t="s">
        <v>12</v>
      </c>
      <c r="E219" s="237" t="s">
        <v>13</v>
      </c>
      <c r="F219" s="238"/>
      <c r="G219" s="45"/>
    </row>
    <row r="220" spans="1:7" s="51" customFormat="1">
      <c r="A220" s="47" t="s">
        <v>50</v>
      </c>
      <c r="B220" s="48">
        <v>43</v>
      </c>
      <c r="C220" s="151" t="str">
        <f xml:space="preserve"> IF(B220="","",setValueToTime(B220))</f>
        <v>3h35min</v>
      </c>
      <c r="D220" s="165" t="s">
        <v>160</v>
      </c>
      <c r="E220" s="239"/>
      <c r="F220" s="240"/>
      <c r="G220" s="50"/>
    </row>
    <row r="221" spans="1:7" s="51" customFormat="1">
      <c r="A221" s="52" t="s">
        <v>15</v>
      </c>
      <c r="B221" s="53">
        <v>2</v>
      </c>
      <c r="C221" s="152" t="str">
        <f t="shared" ref="C221:C227" si="18" xml:space="preserve"> IF(B221="","",setValueToTime(B221))</f>
        <v>0h10min</v>
      </c>
      <c r="D221" s="166" t="s">
        <v>151</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45</v>
      </c>
      <c r="C228" s="110" t="str">
        <f xml:space="preserve"> setValueToTime(B228)</f>
        <v>3h45min</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16</v>
      </c>
      <c r="C230" s="162"/>
      <c r="D230" s="81" t="s">
        <v>14</v>
      </c>
      <c r="E230" s="93">
        <v>44237</v>
      </c>
      <c r="F230" s="125" t="s">
        <v>75</v>
      </c>
      <c r="G230" s="45"/>
    </row>
    <row r="231" spans="1:7" s="46" customFormat="1" ht="30" customHeight="1" thickBot="1">
      <c r="A231" s="79" t="s">
        <v>4</v>
      </c>
      <c r="B231" s="149" t="s">
        <v>38</v>
      </c>
      <c r="C231" s="150"/>
      <c r="D231" s="79" t="s">
        <v>12</v>
      </c>
      <c r="E231" s="237" t="s">
        <v>13</v>
      </c>
      <c r="F231" s="238"/>
      <c r="G231" s="45"/>
    </row>
    <row r="232" spans="1:7" s="51" customFormat="1">
      <c r="A232" s="47" t="s">
        <v>60</v>
      </c>
      <c r="B232" s="48">
        <v>33</v>
      </c>
      <c r="C232" s="151" t="str">
        <f xml:space="preserve"> IF(B232="","",setValueToTime(B232))</f>
        <v>2h45min</v>
      </c>
      <c r="D232" s="165" t="s">
        <v>144</v>
      </c>
      <c r="E232" s="239"/>
      <c r="F232" s="240"/>
      <c r="G232" s="50"/>
    </row>
    <row r="233" spans="1:7" s="51" customFormat="1">
      <c r="A233" s="52" t="s">
        <v>15</v>
      </c>
      <c r="B233" s="53">
        <v>3</v>
      </c>
      <c r="C233" s="152" t="str">
        <f t="shared" ref="C233:C239" si="19" xml:space="preserve"> IF(B233="","",setValueToTime(B233))</f>
        <v>0h15min</v>
      </c>
      <c r="D233" s="166" t="s">
        <v>145</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15</v>
      </c>
      <c r="C242" s="162"/>
      <c r="D242" s="81" t="s">
        <v>14</v>
      </c>
      <c r="E242" s="93">
        <v>44237</v>
      </c>
      <c r="F242" s="125" t="s">
        <v>74</v>
      </c>
      <c r="G242" s="45"/>
    </row>
    <row r="243" spans="1:7" s="46" customFormat="1" ht="30" customHeight="1" thickBot="1">
      <c r="A243" s="79" t="s">
        <v>4</v>
      </c>
      <c r="B243" s="149" t="s">
        <v>38</v>
      </c>
      <c r="C243" s="150"/>
      <c r="D243" s="79" t="s">
        <v>12</v>
      </c>
      <c r="E243" s="237" t="s">
        <v>13</v>
      </c>
      <c r="F243" s="238"/>
      <c r="G243" s="45"/>
    </row>
    <row r="244" spans="1:7" s="51" customFormat="1">
      <c r="A244" s="47" t="s">
        <v>60</v>
      </c>
      <c r="B244" s="48">
        <v>45</v>
      </c>
      <c r="C244" s="151" t="str">
        <f xml:space="preserve"> IF(B244="","",setValueToTime(B244))</f>
        <v>3h45min</v>
      </c>
      <c r="D244" s="165" t="s">
        <v>143</v>
      </c>
      <c r="E244" s="239"/>
      <c r="F244" s="240"/>
      <c r="G244" s="50"/>
    </row>
    <row r="245" spans="1:7" s="51" customFormat="1">
      <c r="A245" s="52"/>
      <c r="B245" s="53"/>
      <c r="C245" s="152" t="str">
        <f t="shared" ref="C245:C251" si="20" xml:space="preserve"> IF(B245="","",setValueToTime(B245))</f>
        <v/>
      </c>
      <c r="D245" s="54"/>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45</v>
      </c>
      <c r="C252" s="110" t="str">
        <f xml:space="preserve"> setValueToTime(B252)</f>
        <v>3h45min</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14</v>
      </c>
      <c r="C254" s="162"/>
      <c r="D254" s="81" t="s">
        <v>14</v>
      </c>
      <c r="E254" s="93">
        <v>44235</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51</v>
      </c>
      <c r="B256" s="48">
        <v>36</v>
      </c>
      <c r="C256" s="151" t="str">
        <f xml:space="preserve"> IF(B256="","",setValueToTime(B256))</f>
        <v>3h</v>
      </c>
      <c r="D256" s="165" t="s">
        <v>142</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36</v>
      </c>
      <c r="C264" s="110" t="str">
        <f xml:space="preserve"> setValueToTime(B264)</f>
        <v>3h</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13</v>
      </c>
      <c r="C266" s="162"/>
      <c r="D266" s="81" t="s">
        <v>14</v>
      </c>
      <c r="E266" s="93">
        <v>44232</v>
      </c>
      <c r="F266" s="125" t="s">
        <v>75</v>
      </c>
      <c r="G266" s="45"/>
    </row>
    <row r="267" spans="1:7" s="46" customFormat="1" ht="30" customHeight="1" thickBot="1">
      <c r="A267" s="79" t="s">
        <v>4</v>
      </c>
      <c r="B267" s="149" t="s">
        <v>38</v>
      </c>
      <c r="C267" s="150"/>
      <c r="D267" s="79" t="s">
        <v>12</v>
      </c>
      <c r="E267" s="237" t="s">
        <v>13</v>
      </c>
      <c r="F267" s="238"/>
      <c r="G267" s="45"/>
    </row>
    <row r="268" spans="1:7" s="51" customFormat="1" ht="27">
      <c r="A268" s="47" t="s">
        <v>117</v>
      </c>
      <c r="B268" s="48">
        <v>33</v>
      </c>
      <c r="C268" s="151" t="str">
        <f xml:space="preserve"> IF(B268="","",setValueToTime(B268))</f>
        <v>2h45min</v>
      </c>
      <c r="D268" s="165" t="s">
        <v>124</v>
      </c>
      <c r="E268" s="239"/>
      <c r="F268" s="240"/>
      <c r="G268" s="50"/>
    </row>
    <row r="269" spans="1:7" s="51" customFormat="1">
      <c r="A269" s="52" t="s">
        <v>15</v>
      </c>
      <c r="B269" s="53">
        <v>3</v>
      </c>
      <c r="C269" s="152" t="str">
        <f t="shared" ref="C269:C275" si="22" xml:space="preserve"> IF(B269="","",setValueToTime(B269))</f>
        <v>0h15min</v>
      </c>
      <c r="D269" s="166" t="s">
        <v>114</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12</v>
      </c>
      <c r="C278" s="162"/>
      <c r="D278" s="81" t="s">
        <v>14</v>
      </c>
      <c r="E278" s="93">
        <v>44232</v>
      </c>
      <c r="F278" s="125" t="s">
        <v>74</v>
      </c>
      <c r="G278" s="45"/>
    </row>
    <row r="279" spans="1:7" s="46" customFormat="1" ht="30" customHeight="1" thickBot="1">
      <c r="A279" s="79" t="s">
        <v>4</v>
      </c>
      <c r="B279" s="149" t="s">
        <v>38</v>
      </c>
      <c r="C279" s="150"/>
      <c r="D279" s="79" t="s">
        <v>12</v>
      </c>
      <c r="E279" s="237" t="s">
        <v>13</v>
      </c>
      <c r="F279" s="238"/>
      <c r="G279" s="45"/>
    </row>
    <row r="280" spans="1:7" s="51" customFormat="1" ht="27">
      <c r="A280" s="47" t="s">
        <v>62</v>
      </c>
      <c r="B280" s="48">
        <v>36</v>
      </c>
      <c r="C280" s="151" t="str">
        <f xml:space="preserve"> IF(B280="","",setValueToTime(B280))</f>
        <v>3h</v>
      </c>
      <c r="D280" s="165" t="s">
        <v>123</v>
      </c>
      <c r="E280" s="239"/>
      <c r="F280" s="240"/>
      <c r="G280" s="50"/>
    </row>
    <row r="281" spans="1:7" s="51" customFormat="1">
      <c r="A281" s="52"/>
      <c r="B281" s="53"/>
      <c r="C281" s="152" t="str">
        <f t="shared" ref="C281:C287" si="23" xml:space="preserve"> IF(B281="","",setValueToTime(B281))</f>
        <v/>
      </c>
      <c r="D281" s="54"/>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36</v>
      </c>
      <c r="C288" s="110" t="str">
        <f xml:space="preserve"> setValueToTime(B288)</f>
        <v>3h</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11</v>
      </c>
      <c r="C290" s="162"/>
      <c r="D290" s="81" t="s">
        <v>14</v>
      </c>
      <c r="E290" s="93">
        <v>44231</v>
      </c>
      <c r="F290" s="125" t="s">
        <v>75</v>
      </c>
      <c r="G290" s="45"/>
    </row>
    <row r="291" spans="1:7" s="46" customFormat="1" ht="30" customHeight="1" thickBot="1">
      <c r="A291" s="79" t="s">
        <v>4</v>
      </c>
      <c r="B291" s="149" t="s">
        <v>38</v>
      </c>
      <c r="C291" s="150"/>
      <c r="D291" s="79" t="s">
        <v>12</v>
      </c>
      <c r="E291" s="237" t="s">
        <v>13</v>
      </c>
      <c r="F291" s="238"/>
      <c r="G291" s="45"/>
    </row>
    <row r="292" spans="1:7" s="51" customFormat="1">
      <c r="A292" s="47" t="s">
        <v>59</v>
      </c>
      <c r="B292" s="48">
        <v>18</v>
      </c>
      <c r="C292" s="151" t="str">
        <f xml:space="preserve"> IF(B292="","",setValueToTime(B292))</f>
        <v>1h30min</v>
      </c>
      <c r="D292" s="165" t="s">
        <v>120</v>
      </c>
      <c r="E292" s="239"/>
      <c r="F292" s="240"/>
      <c r="G292" s="50"/>
    </row>
    <row r="293" spans="1:7" s="51" customFormat="1" ht="27">
      <c r="A293" s="52" t="s">
        <v>62</v>
      </c>
      <c r="B293" s="53">
        <v>15</v>
      </c>
      <c r="C293" s="152" t="str">
        <f t="shared" ref="C293:C299" si="24" xml:space="preserve"> IF(B293="","",setValueToTime(B293))</f>
        <v>1h15min</v>
      </c>
      <c r="D293" s="166" t="s">
        <v>122</v>
      </c>
      <c r="E293" s="241"/>
      <c r="F293" s="242"/>
      <c r="G293" s="50"/>
    </row>
    <row r="294" spans="1:7" s="51" customFormat="1">
      <c r="A294" s="52" t="s">
        <v>15</v>
      </c>
      <c r="B294" s="53">
        <v>3</v>
      </c>
      <c r="C294" s="152" t="str">
        <f t="shared" si="24"/>
        <v>0h15min</v>
      </c>
      <c r="D294" s="166" t="s">
        <v>106</v>
      </c>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10</v>
      </c>
      <c r="C302" s="162"/>
      <c r="D302" s="81" t="s">
        <v>14</v>
      </c>
      <c r="E302" s="93">
        <v>44231</v>
      </c>
      <c r="F302" s="125" t="s">
        <v>74</v>
      </c>
      <c r="G302" s="45"/>
    </row>
    <row r="303" spans="1:7" s="46" customFormat="1" ht="30" customHeight="1" thickBot="1">
      <c r="A303" s="79" t="s">
        <v>4</v>
      </c>
      <c r="B303" s="149" t="s">
        <v>38</v>
      </c>
      <c r="C303" s="150"/>
      <c r="D303" s="79" t="s">
        <v>12</v>
      </c>
      <c r="E303" s="237" t="s">
        <v>13</v>
      </c>
      <c r="F303" s="238"/>
      <c r="G303" s="45"/>
    </row>
    <row r="304" spans="1:7" s="51" customFormat="1">
      <c r="A304" s="47" t="s">
        <v>59</v>
      </c>
      <c r="B304" s="48">
        <v>45</v>
      </c>
      <c r="C304" s="151" t="str">
        <f xml:space="preserve"> IF(B304="","",setValueToTime(B304))</f>
        <v>3h45min</v>
      </c>
      <c r="D304" s="165" t="s">
        <v>121</v>
      </c>
      <c r="E304" s="239"/>
      <c r="F304" s="240"/>
      <c r="G304" s="50"/>
    </row>
    <row r="305" spans="1:7" s="51" customFormat="1">
      <c r="A305" s="52"/>
      <c r="B305" s="53"/>
      <c r="C305" s="152" t="str">
        <f t="shared" ref="C305:C311" si="25" xml:space="preserve"> IF(B305="","",setValueToTime(B305))</f>
        <v/>
      </c>
      <c r="D305" s="54"/>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45</v>
      </c>
      <c r="C312" s="110" t="str">
        <f xml:space="preserve"> setValueToTime(B312)</f>
        <v>3h45min</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9</v>
      </c>
      <c r="C314" s="162"/>
      <c r="D314" s="81" t="s">
        <v>14</v>
      </c>
      <c r="E314" s="93">
        <v>44230</v>
      </c>
      <c r="F314" s="125" t="s">
        <v>75</v>
      </c>
      <c r="G314" s="45"/>
    </row>
    <row r="315" spans="1:7" s="46" customFormat="1" ht="30" customHeight="1" thickBot="1">
      <c r="A315" s="79" t="s">
        <v>4</v>
      </c>
      <c r="B315" s="149" t="s">
        <v>38</v>
      </c>
      <c r="C315" s="150"/>
      <c r="D315" s="79" t="s">
        <v>12</v>
      </c>
      <c r="E315" s="237" t="s">
        <v>13</v>
      </c>
      <c r="F315" s="238"/>
      <c r="G315" s="45"/>
    </row>
    <row r="316" spans="1:7" s="51" customFormat="1">
      <c r="A316" s="47" t="s">
        <v>60</v>
      </c>
      <c r="B316" s="48">
        <v>18</v>
      </c>
      <c r="C316" s="151" t="str">
        <f xml:space="preserve"> IF(B316="","",setValueToTime(B316))</f>
        <v>1h30min</v>
      </c>
      <c r="D316" s="165" t="s">
        <v>116</v>
      </c>
      <c r="E316" s="239"/>
      <c r="F316" s="240"/>
      <c r="G316" s="50"/>
    </row>
    <row r="317" spans="1:7" s="51" customFormat="1">
      <c r="A317" s="52" t="s">
        <v>59</v>
      </c>
      <c r="B317" s="53">
        <v>15</v>
      </c>
      <c r="C317" s="152" t="str">
        <f t="shared" ref="C317:C323" si="26" xml:space="preserve"> IF(B317="","",setValueToTime(B317))</f>
        <v>1h15min</v>
      </c>
      <c r="D317" s="166" t="s">
        <v>119</v>
      </c>
      <c r="E317" s="241"/>
      <c r="F317" s="242"/>
      <c r="G317" s="50"/>
    </row>
    <row r="318" spans="1:7" s="51" customFormat="1">
      <c r="A318" s="52" t="s">
        <v>15</v>
      </c>
      <c r="B318" s="53">
        <v>3</v>
      </c>
      <c r="C318" s="152" t="str">
        <f t="shared" si="26"/>
        <v>0h15min</v>
      </c>
      <c r="D318" s="166" t="s">
        <v>106</v>
      </c>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36</v>
      </c>
      <c r="C324" s="110" t="str">
        <f xml:space="preserve"> setValueToTime(B324)</f>
        <v>3h</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8</v>
      </c>
      <c r="C326" s="162"/>
      <c r="D326" s="81" t="s">
        <v>14</v>
      </c>
      <c r="E326" s="93">
        <v>44230</v>
      </c>
      <c r="F326" s="125" t="s">
        <v>74</v>
      </c>
      <c r="G326" s="45"/>
    </row>
    <row r="327" spans="1:7" s="46" customFormat="1" ht="30" customHeight="1" thickBot="1">
      <c r="A327" s="79" t="s">
        <v>4</v>
      </c>
      <c r="B327" s="149" t="s">
        <v>38</v>
      </c>
      <c r="C327" s="150"/>
      <c r="D327" s="79" t="s">
        <v>12</v>
      </c>
      <c r="E327" s="237" t="s">
        <v>13</v>
      </c>
      <c r="F327" s="238"/>
      <c r="G327" s="45"/>
    </row>
    <row r="328" spans="1:7" s="51" customFormat="1">
      <c r="A328" s="47" t="s">
        <v>56</v>
      </c>
      <c r="B328" s="48">
        <v>3</v>
      </c>
      <c r="C328" s="151"/>
      <c r="D328" s="165" t="s">
        <v>112</v>
      </c>
      <c r="E328" s="239"/>
      <c r="F328" s="240"/>
      <c r="G328" s="50"/>
    </row>
    <row r="329" spans="1:7" s="51" customFormat="1">
      <c r="A329" s="52" t="s">
        <v>60</v>
      </c>
      <c r="B329" s="53">
        <v>42</v>
      </c>
      <c r="C329" s="152"/>
      <c r="D329" s="166" t="s">
        <v>115</v>
      </c>
      <c r="E329" s="241"/>
      <c r="F329" s="242"/>
      <c r="G329" s="50"/>
    </row>
    <row r="330" spans="1:7" s="51" customFormat="1">
      <c r="A330" s="52"/>
      <c r="B330" s="53"/>
      <c r="C330" s="152" t="str">
        <f t="shared" ref="C330:C335" si="27" xml:space="preserve"> IF(B330="","",setValueToTime(B330))</f>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45</v>
      </c>
      <c r="C336" s="110" t="str">
        <f xml:space="preserve"> setValueToTime(B336)</f>
        <v>3h45min</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7</v>
      </c>
      <c r="C338" s="162"/>
      <c r="D338" s="81" t="s">
        <v>14</v>
      </c>
      <c r="E338" s="93">
        <v>44228</v>
      </c>
      <c r="F338" s="125" t="s">
        <v>74</v>
      </c>
      <c r="G338" s="45"/>
    </row>
    <row r="339" spans="1:7" s="46" customFormat="1" ht="30" customHeight="1" thickBot="1">
      <c r="A339" s="79" t="s">
        <v>4</v>
      </c>
      <c r="B339" s="149" t="s">
        <v>38</v>
      </c>
      <c r="C339" s="150"/>
      <c r="D339" s="79" t="s">
        <v>12</v>
      </c>
      <c r="E339" s="237" t="s">
        <v>13</v>
      </c>
      <c r="F339" s="238"/>
      <c r="G339" s="45"/>
    </row>
    <row r="340" spans="1:7" s="51" customFormat="1">
      <c r="A340" s="47" t="s">
        <v>56</v>
      </c>
      <c r="B340" s="48">
        <v>3</v>
      </c>
      <c r="C340" s="151" t="str">
        <f xml:space="preserve"> IF(B340="","",setValueToTime(B340))</f>
        <v>0h15min</v>
      </c>
      <c r="D340" s="165" t="s">
        <v>112</v>
      </c>
      <c r="E340" s="239"/>
      <c r="F340" s="240"/>
      <c r="G340" s="50"/>
    </row>
    <row r="341" spans="1:7" s="51" customFormat="1">
      <c r="A341" s="52" t="s">
        <v>60</v>
      </c>
      <c r="B341" s="53">
        <v>33</v>
      </c>
      <c r="C341" s="152" t="str">
        <f t="shared" ref="C341:C347" si="28" xml:space="preserve"> IF(B341="","",setValueToTime(B341))</f>
        <v>2h45min</v>
      </c>
      <c r="D341" s="166" t="s">
        <v>113</v>
      </c>
      <c r="E341" s="241"/>
      <c r="F341" s="242"/>
      <c r="G341" s="50"/>
    </row>
    <row r="342" spans="1:7" s="51" customFormat="1">
      <c r="A342" s="52"/>
      <c r="B342" s="53"/>
      <c r="C342" s="152" t="str">
        <f t="shared" si="28"/>
        <v/>
      </c>
      <c r="D342" s="54"/>
      <c r="E342" s="241"/>
      <c r="F342" s="242"/>
      <c r="G342" s="50"/>
    </row>
    <row r="343" spans="1:7" s="51" customFormat="1">
      <c r="A343" s="52"/>
      <c r="B343" s="53"/>
      <c r="C343" s="152" t="str">
        <f t="shared" si="28"/>
        <v/>
      </c>
      <c r="D343" s="54"/>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36</v>
      </c>
      <c r="C348" s="110" t="str">
        <f xml:space="preserve"> setValueToTime(B348)</f>
        <v>3h</v>
      </c>
      <c r="D348" s="119"/>
      <c r="E348" s="235"/>
      <c r="F348" s="236"/>
      <c r="G348" s="50"/>
    </row>
    <row r="349" spans="1:7" s="58" customFormat="1" ht="15" thickBot="1">
      <c r="A349" s="78"/>
      <c r="B349" s="78"/>
      <c r="C349" s="78"/>
      <c r="D349" s="78"/>
      <c r="E349" s="78"/>
      <c r="F349" s="78"/>
      <c r="G349" s="57"/>
    </row>
    <row r="350" spans="1:7" s="46" customFormat="1" ht="30" customHeight="1" thickBot="1">
      <c r="A350" s="80" t="s">
        <v>11</v>
      </c>
      <c r="B350" s="162">
        <v>6</v>
      </c>
      <c r="C350" s="162"/>
      <c r="D350" s="81" t="s">
        <v>14</v>
      </c>
      <c r="E350" s="93">
        <v>44225</v>
      </c>
      <c r="F350" s="125" t="s">
        <v>91</v>
      </c>
      <c r="G350" s="45"/>
    </row>
    <row r="351" spans="1:7" s="46" customFormat="1" ht="30" customHeight="1" thickBot="1">
      <c r="A351" s="79" t="s">
        <v>4</v>
      </c>
      <c r="B351" s="149" t="s">
        <v>38</v>
      </c>
      <c r="C351" s="150"/>
      <c r="D351" s="79" t="s">
        <v>12</v>
      </c>
      <c r="E351" s="237" t="s">
        <v>13</v>
      </c>
      <c r="F351" s="238"/>
      <c r="G351" s="45"/>
    </row>
    <row r="352" spans="1:7" s="51" customFormat="1">
      <c r="A352" s="47" t="s">
        <v>58</v>
      </c>
      <c r="B352" s="48">
        <v>33</v>
      </c>
      <c r="C352" s="151" t="str">
        <f xml:space="preserve"> IF(B352="","",setValueToTime(B352))</f>
        <v>2h45min</v>
      </c>
      <c r="D352" s="165" t="s">
        <v>96</v>
      </c>
      <c r="E352" s="239"/>
      <c r="F352" s="240"/>
      <c r="G352" s="50"/>
    </row>
    <row r="353" spans="1:7" s="51" customFormat="1">
      <c r="A353" s="52" t="s">
        <v>15</v>
      </c>
      <c r="B353" s="53">
        <v>3</v>
      </c>
      <c r="C353" s="152" t="str">
        <f t="shared" ref="C353:C359" si="29" xml:space="preserve"> IF(B353="","",setValueToTime(B353))</f>
        <v>0h15min</v>
      </c>
      <c r="D353" s="166" t="s">
        <v>94</v>
      </c>
      <c r="E353" s="241"/>
      <c r="F353" s="242"/>
      <c r="G353" s="50"/>
    </row>
    <row r="354" spans="1:7" s="51" customFormat="1">
      <c r="A354" s="52"/>
      <c r="B354" s="53"/>
      <c r="C354" s="152" t="str">
        <f t="shared" si="29"/>
        <v/>
      </c>
      <c r="D354" s="54"/>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10" t="s">
        <v>27</v>
      </c>
      <c r="B360" s="83">
        <f>SUM(B352:B359)</f>
        <v>36</v>
      </c>
      <c r="C360" s="110" t="str">
        <f xml:space="preserve"> setValueToTime(B360)</f>
        <v>3h</v>
      </c>
      <c r="D360" s="119"/>
      <c r="E360" s="235"/>
      <c r="F360" s="236"/>
      <c r="G360" s="50"/>
    </row>
    <row r="361" spans="1:7" s="58" customFormat="1" ht="15" thickBot="1">
      <c r="A361" s="78"/>
      <c r="B361" s="78"/>
      <c r="C361" s="78"/>
      <c r="D361" s="78"/>
      <c r="E361" s="78"/>
      <c r="F361" s="78"/>
      <c r="G361" s="57"/>
    </row>
    <row r="362" spans="1:7" s="46" customFormat="1" ht="30" customHeight="1" thickBot="1">
      <c r="A362" s="80" t="s">
        <v>11</v>
      </c>
      <c r="B362" s="162">
        <v>5</v>
      </c>
      <c r="C362" s="162"/>
      <c r="D362" s="81" t="s">
        <v>14</v>
      </c>
      <c r="E362" s="93">
        <v>44225</v>
      </c>
      <c r="F362" s="125" t="s">
        <v>86</v>
      </c>
      <c r="G362" s="45"/>
    </row>
    <row r="363" spans="1:7" s="46" customFormat="1" ht="30" customHeight="1" thickBot="1">
      <c r="A363" s="79" t="s">
        <v>4</v>
      </c>
      <c r="B363" s="149" t="s">
        <v>38</v>
      </c>
      <c r="C363" s="150"/>
      <c r="D363" s="79" t="s">
        <v>12</v>
      </c>
      <c r="E363" s="237" t="s">
        <v>13</v>
      </c>
      <c r="F363" s="238"/>
      <c r="G363" s="45"/>
    </row>
    <row r="364" spans="1:7" s="51" customFormat="1">
      <c r="A364" s="47" t="s">
        <v>58</v>
      </c>
      <c r="B364" s="48">
        <v>36</v>
      </c>
      <c r="C364" s="151" t="str">
        <f xml:space="preserve"> IF(B364="","",setValueToTime(B364))</f>
        <v>3h</v>
      </c>
      <c r="D364" s="165" t="s">
        <v>95</v>
      </c>
      <c r="E364" s="239"/>
      <c r="F364" s="240"/>
      <c r="G364" s="50"/>
    </row>
    <row r="365" spans="1:7" s="51" customFormat="1">
      <c r="A365" s="52"/>
      <c r="B365" s="53"/>
      <c r="C365" s="152" t="str">
        <f t="shared" ref="C365:C371" si="30" xml:space="preserve"> IF(B365="","",setValueToTime(B365))</f>
        <v/>
      </c>
      <c r="D365" s="54"/>
      <c r="E365" s="241"/>
      <c r="F365" s="242"/>
      <c r="G365" s="50"/>
    </row>
    <row r="366" spans="1:7" s="51" customFormat="1">
      <c r="A366" s="52"/>
      <c r="B366" s="53"/>
      <c r="C366" s="152" t="str">
        <f t="shared" si="30"/>
        <v/>
      </c>
      <c r="D366" s="54"/>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10" t="s">
        <v>27</v>
      </c>
      <c r="B372" s="83">
        <f>SUM(B364:B371)</f>
        <v>36</v>
      </c>
      <c r="C372" s="110" t="str">
        <f xml:space="preserve"> setValueToTime(B372)</f>
        <v>3h</v>
      </c>
      <c r="D372" s="119"/>
      <c r="E372" s="235"/>
      <c r="F372" s="236"/>
      <c r="G372" s="50"/>
    </row>
    <row r="373" spans="1:7" s="58" customFormat="1" ht="15" thickBot="1">
      <c r="A373" s="78"/>
      <c r="B373" s="78"/>
      <c r="C373" s="78"/>
      <c r="D373" s="78"/>
      <c r="E373" s="78"/>
      <c r="F373" s="78"/>
      <c r="G373" s="57"/>
    </row>
    <row r="374" spans="1:7" s="46" customFormat="1" ht="30" customHeight="1" thickBot="1">
      <c r="A374" s="80" t="s">
        <v>11</v>
      </c>
      <c r="B374" s="162">
        <v>4</v>
      </c>
      <c r="C374" s="162"/>
      <c r="D374" s="81" t="s">
        <v>14</v>
      </c>
      <c r="E374" s="93">
        <v>44224</v>
      </c>
      <c r="F374" s="125" t="s">
        <v>91</v>
      </c>
      <c r="G374" s="45"/>
    </row>
    <row r="375" spans="1:7" s="46" customFormat="1" ht="30" customHeight="1" thickBot="1">
      <c r="A375" s="79" t="s">
        <v>4</v>
      </c>
      <c r="B375" s="149" t="s">
        <v>38</v>
      </c>
      <c r="C375" s="150"/>
      <c r="D375" s="79" t="s">
        <v>12</v>
      </c>
      <c r="E375" s="237" t="s">
        <v>13</v>
      </c>
      <c r="F375" s="238"/>
      <c r="G375" s="45"/>
    </row>
    <row r="376" spans="1:7" s="51" customFormat="1">
      <c r="A376" s="47" t="s">
        <v>50</v>
      </c>
      <c r="B376" s="48">
        <v>18</v>
      </c>
      <c r="C376" s="151" t="str">
        <f xml:space="preserve"> IF(B376="","",setValueToTime(B376))</f>
        <v>1h30min</v>
      </c>
      <c r="D376" s="165" t="s">
        <v>92</v>
      </c>
      <c r="E376" s="239"/>
      <c r="F376" s="240"/>
      <c r="G376" s="50"/>
    </row>
    <row r="377" spans="1:7" s="51" customFormat="1">
      <c r="A377" s="52" t="s">
        <v>58</v>
      </c>
      <c r="B377" s="53">
        <v>15</v>
      </c>
      <c r="C377" s="152" t="str">
        <f t="shared" ref="C377:C383" si="31" xml:space="preserve"> IF(B377="","",setValueToTime(B377))</f>
        <v>1h15min</v>
      </c>
      <c r="D377" s="166" t="s">
        <v>93</v>
      </c>
      <c r="E377" s="241"/>
      <c r="F377" s="242"/>
      <c r="G377" s="50"/>
    </row>
    <row r="378" spans="1:7" s="51" customFormat="1">
      <c r="A378" s="52" t="s">
        <v>15</v>
      </c>
      <c r="B378" s="53">
        <v>3</v>
      </c>
      <c r="C378" s="152" t="str">
        <f t="shared" si="31"/>
        <v>0h15min</v>
      </c>
      <c r="D378" s="166" t="s">
        <v>94</v>
      </c>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10" t="s">
        <v>27</v>
      </c>
      <c r="B384" s="83">
        <f>SUM(B376:B383)</f>
        <v>36</v>
      </c>
      <c r="C384" s="110" t="str">
        <f xml:space="preserve"> setValueToTime(B384)</f>
        <v>3h</v>
      </c>
      <c r="D384" s="119"/>
      <c r="E384" s="235"/>
      <c r="F384" s="236"/>
      <c r="G384" s="50"/>
    </row>
    <row r="385" spans="1:7" s="58" customFormat="1" ht="15" thickBot="1">
      <c r="A385" s="78"/>
      <c r="B385" s="78"/>
      <c r="C385" s="78"/>
      <c r="D385" s="78"/>
      <c r="E385" s="78"/>
      <c r="F385" s="78"/>
      <c r="G385" s="57"/>
    </row>
    <row r="386" spans="1:7" s="46" customFormat="1" ht="30" customHeight="1" thickBot="1">
      <c r="A386" s="80" t="s">
        <v>11</v>
      </c>
      <c r="B386" s="162">
        <v>3</v>
      </c>
      <c r="C386" s="162"/>
      <c r="D386" s="81" t="s">
        <v>14</v>
      </c>
      <c r="E386" s="93">
        <v>44224</v>
      </c>
      <c r="F386" s="125" t="s">
        <v>86</v>
      </c>
      <c r="G386" s="45"/>
    </row>
    <row r="387" spans="1:7" s="46" customFormat="1" ht="30" customHeight="1" thickBot="1">
      <c r="A387" s="79" t="s">
        <v>4</v>
      </c>
      <c r="B387" s="149" t="s">
        <v>38</v>
      </c>
      <c r="C387" s="150"/>
      <c r="D387" s="79" t="s">
        <v>12</v>
      </c>
      <c r="E387" s="237" t="s">
        <v>13</v>
      </c>
      <c r="F387" s="238"/>
      <c r="G387" s="45"/>
    </row>
    <row r="388" spans="1:7" s="51" customFormat="1">
      <c r="A388" s="47" t="s">
        <v>15</v>
      </c>
      <c r="B388" s="48">
        <v>12</v>
      </c>
      <c r="C388" s="151" t="str">
        <f xml:space="preserve"> IF(B388="","",setValueToTime(B388))</f>
        <v>1h</v>
      </c>
      <c r="D388" s="165" t="s">
        <v>87</v>
      </c>
      <c r="E388" s="239"/>
      <c r="F388" s="240"/>
      <c r="G388" s="50"/>
    </row>
    <row r="389" spans="1:7" s="51" customFormat="1">
      <c r="A389" s="52" t="s">
        <v>50</v>
      </c>
      <c r="B389" s="53">
        <v>18</v>
      </c>
      <c r="C389" s="152" t="str">
        <f t="shared" ref="C389:C395" si="32" xml:space="preserve"> IF(B389="","",setValueToTime(B389))</f>
        <v>1h30min</v>
      </c>
      <c r="D389" s="166" t="s">
        <v>88</v>
      </c>
      <c r="E389" s="241"/>
      <c r="F389" s="242"/>
      <c r="G389" s="50"/>
    </row>
    <row r="390" spans="1:7" s="51" customFormat="1">
      <c r="A390" s="52" t="s">
        <v>52</v>
      </c>
      <c r="B390" s="53">
        <v>12</v>
      </c>
      <c r="C390" s="152" t="str">
        <f t="shared" si="32"/>
        <v>1h</v>
      </c>
      <c r="D390" s="166" t="s">
        <v>89</v>
      </c>
      <c r="E390" s="241"/>
      <c r="F390" s="242"/>
      <c r="G390" s="50"/>
    </row>
    <row r="391" spans="1:7" s="51" customFormat="1">
      <c r="A391" s="52" t="s">
        <v>15</v>
      </c>
      <c r="B391" s="53">
        <v>3</v>
      </c>
      <c r="C391" s="152" t="str">
        <f t="shared" si="32"/>
        <v>0h15min</v>
      </c>
      <c r="D391" s="166" t="s">
        <v>90</v>
      </c>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10" t="s">
        <v>27</v>
      </c>
      <c r="B396" s="83">
        <f>SUM(B388:B395)</f>
        <v>45</v>
      </c>
      <c r="C396" s="110" t="str">
        <f xml:space="preserve"> setValueToTime(B396)</f>
        <v>3h45min</v>
      </c>
      <c r="D396" s="119"/>
      <c r="E396" s="235"/>
      <c r="F396" s="236"/>
      <c r="G396" s="50"/>
    </row>
    <row r="397" spans="1:7" s="58" customFormat="1" ht="15" thickBot="1">
      <c r="A397" s="78"/>
      <c r="B397" s="78"/>
      <c r="C397" s="78"/>
      <c r="D397" s="78"/>
      <c r="E397" s="78"/>
      <c r="F397" s="78"/>
      <c r="G397" s="57"/>
    </row>
    <row r="398" spans="1:7" s="46" customFormat="1" ht="30" customHeight="1" thickBot="1">
      <c r="A398" s="80" t="s">
        <v>11</v>
      </c>
      <c r="B398" s="162">
        <v>2</v>
      </c>
      <c r="C398" s="162"/>
      <c r="D398" s="81" t="s">
        <v>14</v>
      </c>
      <c r="E398" s="93">
        <v>44223</v>
      </c>
      <c r="F398" s="125" t="s">
        <v>75</v>
      </c>
      <c r="G398" s="45"/>
    </row>
    <row r="399" spans="1:7" s="46" customFormat="1" ht="30" customHeight="1" thickBot="1">
      <c r="A399" s="79" t="s">
        <v>4</v>
      </c>
      <c r="B399" s="149" t="s">
        <v>38</v>
      </c>
      <c r="C399" s="150"/>
      <c r="D399" s="79" t="s">
        <v>12</v>
      </c>
      <c r="E399" s="237" t="s">
        <v>13</v>
      </c>
      <c r="F399" s="238"/>
      <c r="G399" s="45"/>
    </row>
    <row r="400" spans="1:7" s="51" customFormat="1">
      <c r="A400" s="47" t="s">
        <v>58</v>
      </c>
      <c r="B400" s="48">
        <v>36</v>
      </c>
      <c r="C400" s="151"/>
      <c r="D400" s="165" t="s">
        <v>76</v>
      </c>
      <c r="E400" s="239"/>
      <c r="F400" s="240"/>
      <c r="G400" s="50"/>
    </row>
    <row r="401" spans="1:7" s="51" customFormat="1">
      <c r="A401" s="52" t="s">
        <v>57</v>
      </c>
      <c r="B401" s="53">
        <v>15</v>
      </c>
      <c r="C401" s="152"/>
      <c r="D401" s="166" t="s">
        <v>78</v>
      </c>
      <c r="E401" s="241"/>
      <c r="F401" s="242"/>
      <c r="G401" s="50"/>
    </row>
    <row r="402" spans="1:7" s="51" customFormat="1">
      <c r="A402" s="52"/>
      <c r="B402" s="53"/>
      <c r="C402" s="152" t="str">
        <f t="shared" ref="C402:C407" si="33" xml:space="preserve"> IF(B402="","",setValueToTime(B402))</f>
        <v/>
      </c>
      <c r="D402" s="54"/>
      <c r="E402" s="241"/>
      <c r="F402" s="242"/>
      <c r="G402" s="50"/>
    </row>
    <row r="403" spans="1:7" s="51" customFormat="1">
      <c r="A403" s="52"/>
      <c r="B403" s="53"/>
      <c r="C403" s="152" t="str">
        <f t="shared" si="33"/>
        <v/>
      </c>
      <c r="D403" s="54"/>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10" t="s">
        <v>27</v>
      </c>
      <c r="B408" s="83">
        <f>SUM(B400:B407)</f>
        <v>51</v>
      </c>
      <c r="C408" s="110" t="str">
        <f xml:space="preserve"> setValueToTime(B408)</f>
        <v>4h15min</v>
      </c>
      <c r="D408" s="119"/>
      <c r="E408" s="235"/>
      <c r="F408" s="236"/>
      <c r="G408" s="50"/>
    </row>
    <row r="409" spans="1:7" s="58" customFormat="1" ht="15" thickBot="1">
      <c r="A409" s="78"/>
      <c r="B409" s="78"/>
      <c r="C409" s="78"/>
      <c r="D409" s="78"/>
      <c r="E409" s="78"/>
      <c r="F409" s="78"/>
      <c r="G409" s="57"/>
    </row>
    <row r="410" spans="1:7" s="46" customFormat="1" ht="30" customHeight="1" thickBot="1">
      <c r="A410" s="80" t="s">
        <v>11</v>
      </c>
      <c r="B410" s="162">
        <v>1</v>
      </c>
      <c r="C410" s="162"/>
      <c r="D410" s="81" t="s">
        <v>14</v>
      </c>
      <c r="E410" s="93">
        <v>44223</v>
      </c>
      <c r="F410" s="125" t="s">
        <v>74</v>
      </c>
      <c r="G410" s="45"/>
    </row>
    <row r="411" spans="1:7" s="46" customFormat="1" ht="30" customHeight="1" thickBot="1">
      <c r="A411" s="79" t="s">
        <v>4</v>
      </c>
      <c r="B411" s="149" t="s">
        <v>38</v>
      </c>
      <c r="C411" s="150"/>
      <c r="D411" s="79" t="s">
        <v>12</v>
      </c>
      <c r="E411" s="237" t="s">
        <v>13</v>
      </c>
      <c r="F411" s="238"/>
      <c r="G411" s="45"/>
    </row>
    <row r="412" spans="1:7" s="51" customFormat="1">
      <c r="A412" s="47" t="s">
        <v>51</v>
      </c>
      <c r="B412" s="48">
        <v>12</v>
      </c>
      <c r="C412" s="152" t="str">
        <f xml:space="preserve"> IF(B412="","",setValueToTime(B412))</f>
        <v>1h</v>
      </c>
      <c r="D412" s="165" t="s">
        <v>68</v>
      </c>
      <c r="E412" s="239"/>
      <c r="F412" s="240"/>
      <c r="G412" s="50"/>
    </row>
    <row r="413" spans="1:7" s="51" customFormat="1">
      <c r="A413" s="52" t="s">
        <v>56</v>
      </c>
      <c r="B413" s="53">
        <v>9</v>
      </c>
      <c r="C413" s="152" t="str">
        <f xml:space="preserve"> IF(B413="","",setValueToTime(B413))</f>
        <v>0h45min</v>
      </c>
      <c r="D413" s="166" t="s">
        <v>70</v>
      </c>
      <c r="E413" s="241"/>
      <c r="F413" s="242"/>
      <c r="G413" s="50"/>
    </row>
    <row r="414" spans="1:7" s="51" customFormat="1" ht="27">
      <c r="A414" s="52" t="s">
        <v>64</v>
      </c>
      <c r="B414" s="53">
        <v>9</v>
      </c>
      <c r="C414" s="152" t="str">
        <f t="shared" ref="C414:C419" si="34" xml:space="preserve"> IF(B414="","",setValueToTime(B414))</f>
        <v>0h45min</v>
      </c>
      <c r="D414" s="166" t="s">
        <v>72</v>
      </c>
      <c r="E414" s="241"/>
      <c r="F414" s="242"/>
      <c r="G414" s="50"/>
    </row>
    <row r="415" spans="1:7" s="51" customFormat="1" ht="27">
      <c r="A415" s="52" t="s">
        <v>65</v>
      </c>
      <c r="B415" s="53">
        <v>9</v>
      </c>
      <c r="C415" s="152" t="str">
        <f t="shared" si="34"/>
        <v>0h45min</v>
      </c>
      <c r="D415" s="166" t="s">
        <v>73</v>
      </c>
      <c r="E415" s="241"/>
      <c r="F415" s="242"/>
      <c r="G415" s="50"/>
    </row>
    <row r="416" spans="1:7" s="51" customFormat="1">
      <c r="A416" s="53" t="s">
        <v>58</v>
      </c>
      <c r="B416" s="53">
        <v>12</v>
      </c>
      <c r="C416" s="153" t="str">
        <f t="shared" si="34"/>
        <v>1h</v>
      </c>
      <c r="D416" s="166" t="s">
        <v>77</v>
      </c>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15" thickBot="1">
      <c r="A420" s="110" t="s">
        <v>27</v>
      </c>
      <c r="B420" s="83">
        <f>SUM(B412:B419)</f>
        <v>51</v>
      </c>
      <c r="C420" s="110" t="str">
        <f xml:space="preserve"> setValueToTime(B420)</f>
        <v>4h15min</v>
      </c>
      <c r="D420" s="119"/>
      <c r="E420" s="235"/>
      <c r="F420" s="236"/>
      <c r="G420" s="50"/>
    </row>
    <row r="421" spans="1:7" s="58" customFormat="1">
      <c r="A421" s="78"/>
      <c r="B421" s="78"/>
      <c r="C421" s="78"/>
      <c r="D421" s="78"/>
      <c r="E421" s="78"/>
      <c r="F421" s="78"/>
      <c r="G421" s="57"/>
    </row>
  </sheetData>
  <sheetProtection formatRows="0" insertRows="0" insertHyperlinks="0" deleteRows="0" selectLockedCells="1"/>
  <mergeCells count="350">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92:F192"/>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418:F418"/>
    <mergeCell ref="E419:F419"/>
    <mergeCell ref="E420:F420"/>
    <mergeCell ref="E399:F399"/>
    <mergeCell ref="E400:F400"/>
    <mergeCell ref="E401:F401"/>
    <mergeCell ref="E402:F402"/>
    <mergeCell ref="E403:F403"/>
    <mergeCell ref="E404:F404"/>
    <mergeCell ref="E411:F411"/>
    <mergeCell ref="E412:F412"/>
    <mergeCell ref="E413:F413"/>
    <mergeCell ref="E414:F414"/>
    <mergeCell ref="E415:F415"/>
    <mergeCell ref="E416:F416"/>
    <mergeCell ref="E405:F405"/>
    <mergeCell ref="E406:F406"/>
    <mergeCell ref="E407:F407"/>
    <mergeCell ref="E408:F408"/>
    <mergeCell ref="E417:F417"/>
    <mergeCell ref="E396:F396"/>
    <mergeCell ref="E380:F380"/>
    <mergeCell ref="E381:F381"/>
    <mergeCell ref="E382:F382"/>
    <mergeCell ref="E383:F383"/>
    <mergeCell ref="E384:F384"/>
    <mergeCell ref="E375:F375"/>
    <mergeCell ref="E376:F376"/>
    <mergeCell ref="E377:F377"/>
    <mergeCell ref="E378:F378"/>
    <mergeCell ref="E379:F379"/>
    <mergeCell ref="E387:F387"/>
    <mergeCell ref="E388:F388"/>
    <mergeCell ref="E389:F389"/>
    <mergeCell ref="E390:F390"/>
    <mergeCell ref="E391:F391"/>
    <mergeCell ref="E392:F392"/>
    <mergeCell ref="E393:F393"/>
    <mergeCell ref="E394:F394"/>
    <mergeCell ref="E395:F395"/>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420">
    <cfRule type="cellIs" dxfId="71" priority="35" operator="greaterThan">
      <formula>60</formula>
    </cfRule>
  </conditionalFormatting>
  <conditionalFormatting sqref="B408">
    <cfRule type="cellIs" dxfId="70" priority="34" operator="greaterThan">
      <formula>60</formula>
    </cfRule>
  </conditionalFormatting>
  <conditionalFormatting sqref="B396">
    <cfRule type="cellIs" dxfId="69" priority="33" operator="greaterThan">
      <formula>60</formula>
    </cfRule>
  </conditionalFormatting>
  <conditionalFormatting sqref="B384">
    <cfRule type="cellIs" dxfId="68" priority="32" operator="greaterThan">
      <formula>60</formula>
    </cfRule>
  </conditionalFormatting>
  <conditionalFormatting sqref="B372">
    <cfRule type="cellIs" dxfId="67" priority="31" operator="greaterThan">
      <formula>60</formula>
    </cfRule>
  </conditionalFormatting>
  <conditionalFormatting sqref="B360">
    <cfRule type="cellIs" dxfId="66" priority="30" operator="greaterThan">
      <formula>60</formula>
    </cfRule>
  </conditionalFormatting>
  <conditionalFormatting sqref="B348">
    <cfRule type="cellIs" dxfId="65" priority="29" operator="greaterThan">
      <formula>60</formula>
    </cfRule>
  </conditionalFormatting>
  <conditionalFormatting sqref="B336">
    <cfRule type="cellIs" dxfId="64" priority="28" operator="greaterThan">
      <formula>60</formula>
    </cfRule>
  </conditionalFormatting>
  <conditionalFormatting sqref="B324">
    <cfRule type="cellIs" dxfId="63" priority="27" operator="greaterThan">
      <formula>60</formula>
    </cfRule>
  </conditionalFormatting>
  <conditionalFormatting sqref="B312">
    <cfRule type="cellIs" dxfId="62" priority="26" operator="greaterThan">
      <formula>60</formula>
    </cfRule>
  </conditionalFormatting>
  <conditionalFormatting sqref="B300">
    <cfRule type="cellIs" dxfId="61" priority="25" operator="greaterThan">
      <formula>60</formula>
    </cfRule>
  </conditionalFormatting>
  <conditionalFormatting sqref="B288">
    <cfRule type="cellIs" dxfId="60" priority="24" operator="greaterThan">
      <formula>60</formula>
    </cfRule>
  </conditionalFormatting>
  <conditionalFormatting sqref="B276">
    <cfRule type="cellIs" dxfId="59" priority="23" operator="greaterThan">
      <formula>60</formula>
    </cfRule>
  </conditionalFormatting>
  <conditionalFormatting sqref="B264">
    <cfRule type="cellIs" dxfId="58" priority="22" operator="greaterThan">
      <formula>60</formula>
    </cfRule>
  </conditionalFormatting>
  <conditionalFormatting sqref="B252">
    <cfRule type="cellIs" dxfId="57" priority="21" operator="greaterThan">
      <formula>60</formula>
    </cfRule>
  </conditionalFormatting>
  <conditionalFormatting sqref="B240">
    <cfRule type="cellIs" dxfId="56" priority="20" operator="greaterThan">
      <formula>60</formula>
    </cfRule>
  </conditionalFormatting>
  <conditionalFormatting sqref="B228">
    <cfRule type="cellIs" dxfId="55" priority="19" operator="greaterThan">
      <formula>60</formula>
    </cfRule>
  </conditionalFormatting>
  <conditionalFormatting sqref="B216">
    <cfRule type="cellIs" dxfId="54" priority="18" operator="greaterThan">
      <formula>60</formula>
    </cfRule>
  </conditionalFormatting>
  <conditionalFormatting sqref="B204">
    <cfRule type="cellIs" dxfId="53" priority="17" operator="greaterThan">
      <formula>60</formula>
    </cfRule>
  </conditionalFormatting>
  <conditionalFormatting sqref="B192">
    <cfRule type="cellIs" dxfId="52" priority="16" operator="greaterThan">
      <formula>60</formula>
    </cfRule>
  </conditionalFormatting>
  <conditionalFormatting sqref="B180">
    <cfRule type="cellIs" dxfId="51" priority="15" operator="greaterThan">
      <formula>60</formula>
    </cfRule>
  </conditionalFormatting>
  <conditionalFormatting sqref="B168">
    <cfRule type="cellIs" dxfId="50" priority="14" operator="greaterThan">
      <formula>60</formula>
    </cfRule>
  </conditionalFormatting>
  <conditionalFormatting sqref="B156">
    <cfRule type="cellIs" dxfId="49" priority="13" operator="greaterThan">
      <formula>60</formula>
    </cfRule>
  </conditionalFormatting>
  <conditionalFormatting sqref="B144">
    <cfRule type="cellIs" dxfId="48" priority="12" operator="greaterThan">
      <formula>60</formula>
    </cfRule>
  </conditionalFormatting>
  <conditionalFormatting sqref="B132">
    <cfRule type="cellIs" dxfId="47" priority="11" operator="greaterThan">
      <formula>60</formula>
    </cfRule>
  </conditionalFormatting>
  <conditionalFormatting sqref="B120">
    <cfRule type="cellIs" dxfId="46" priority="10" operator="greaterThan">
      <formula>60</formula>
    </cfRule>
  </conditionalFormatting>
  <conditionalFormatting sqref="B108">
    <cfRule type="cellIs" dxfId="45" priority="9" operator="greaterThan">
      <formula>60</formula>
    </cfRule>
  </conditionalFormatting>
  <conditionalFormatting sqref="B96">
    <cfRule type="cellIs" dxfId="44" priority="8" operator="greaterThan">
      <formula>60</formula>
    </cfRule>
  </conditionalFormatting>
  <conditionalFormatting sqref="B84">
    <cfRule type="cellIs" dxfId="43" priority="7" operator="greaterThan">
      <formula>60</formula>
    </cfRule>
  </conditionalFormatting>
  <conditionalFormatting sqref="B72">
    <cfRule type="cellIs" dxfId="42" priority="6" operator="greaterThan">
      <formula>60</formula>
    </cfRule>
  </conditionalFormatting>
  <conditionalFormatting sqref="B60">
    <cfRule type="cellIs" dxfId="41" priority="5" operator="greaterThan">
      <formula>60</formula>
    </cfRule>
  </conditionalFormatting>
  <conditionalFormatting sqref="B48">
    <cfRule type="cellIs" dxfId="40" priority="4" operator="greaterThan">
      <formula>60</formula>
    </cfRule>
  </conditionalFormatting>
  <conditionalFormatting sqref="B36">
    <cfRule type="cellIs" dxfId="39" priority="3" operator="greaterThan">
      <formula>60</formula>
    </cfRule>
  </conditionalFormatting>
  <conditionalFormatting sqref="B24">
    <cfRule type="cellIs" dxfId="38" priority="2" operator="greaterThan">
      <formula>60</formula>
    </cfRule>
  </conditionalFormatting>
  <conditionalFormatting sqref="B12">
    <cfRule type="cellIs" dxfId="3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400:B407 B412:B419 B388:B395 B376:B383 B364:B371 B352:B359 B340:B347 B328:B335 B316:B323 B304:B311 B292:B299 B280:B287 B268:B275 B256:B263 B244:B251 B232:B239 B220:B227 B208:B215 B196:B203 B184:B191 B172:B179 B160:B167 B148:B155 B136:B143 B124:B131 B112:B119 B100:B107 B88:B95 B76:B83 B52:B59 B64:B71 B40:B47 B28:B35 B16:B23 B4:B11">
      <formula1>0</formula1>
    </dataValidation>
    <dataValidation type="list" allowBlank="1" showInputMessage="1" showErrorMessage="1" sqref="A400:A407 A412:A419 A388:A395 A376:A383 A364:A371 A352:A359 A340:A347 A328:A335 A316:A323 A304:A311 A292:A299 A280:A287 A268:A275 A256:A263 A244:A251 A232:A239 A220:A227 A208:A215 A196:A203 A184:A191 A172:A179 A160:A167 A148:A155 A136:A143 A124:A131 A112:A119 A100:A107 A88:A95 A76:A83 A52:A59 A64:A71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21"/>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35</v>
      </c>
      <c r="C2" s="163"/>
      <c r="D2" s="156" t="s">
        <v>14</v>
      </c>
      <c r="E2" s="157" t="s">
        <v>217</v>
      </c>
      <c r="F2" s="158" t="s">
        <v>74</v>
      </c>
      <c r="G2" s="45"/>
    </row>
    <row r="3" spans="1:7" s="46" customFormat="1" ht="30" customHeight="1" thickBot="1">
      <c r="A3" s="77" t="s">
        <v>4</v>
      </c>
      <c r="B3" s="160" t="s">
        <v>38</v>
      </c>
      <c r="C3" s="159"/>
      <c r="D3" s="77" t="s">
        <v>12</v>
      </c>
      <c r="E3" s="247" t="s">
        <v>13</v>
      </c>
      <c r="F3" s="248"/>
      <c r="G3" s="45"/>
    </row>
    <row r="4" spans="1:7" s="51" customFormat="1" ht="40.5">
      <c r="A4" s="47" t="s">
        <v>208</v>
      </c>
      <c r="B4" s="48">
        <v>42</v>
      </c>
      <c r="C4" s="151" t="str">
        <f xml:space="preserve"> IF(B4="","",setValueToTime(B4))</f>
        <v>3h30min</v>
      </c>
      <c r="D4" s="165" t="s">
        <v>218</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45</v>
      </c>
      <c r="C12" s="161" t="str">
        <f xml:space="preserve"> setValueToTime(B12)</f>
        <v>3h45min</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34</v>
      </c>
      <c r="C14" s="163"/>
      <c r="D14" s="156" t="s">
        <v>14</v>
      </c>
      <c r="E14" s="157" t="s">
        <v>215</v>
      </c>
      <c r="F14" s="158" t="s">
        <v>74</v>
      </c>
      <c r="G14" s="45"/>
    </row>
    <row r="15" spans="1:7" s="46" customFormat="1" ht="30" customHeight="1" thickBot="1">
      <c r="A15" s="77" t="s">
        <v>4</v>
      </c>
      <c r="B15" s="160" t="s">
        <v>38</v>
      </c>
      <c r="C15" s="159"/>
      <c r="D15" s="77" t="s">
        <v>12</v>
      </c>
      <c r="E15" s="247" t="s">
        <v>13</v>
      </c>
      <c r="F15" s="248"/>
      <c r="G15" s="45"/>
    </row>
    <row r="16" spans="1:7" s="51" customFormat="1">
      <c r="A16" s="47" t="s">
        <v>208</v>
      </c>
      <c r="B16" s="48">
        <v>33</v>
      </c>
      <c r="C16" s="151" t="str">
        <f xml:space="preserve"> IF(B16="","",setValueToTime(B16))</f>
        <v>2h45min</v>
      </c>
      <c r="D16" s="165" t="s">
        <v>216</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33</v>
      </c>
      <c r="C26" s="163"/>
      <c r="D26" s="156" t="s">
        <v>14</v>
      </c>
      <c r="E26" s="157" t="s">
        <v>206</v>
      </c>
      <c r="F26" s="158" t="s">
        <v>75</v>
      </c>
      <c r="G26" s="45"/>
    </row>
    <row r="27" spans="1:7" s="46" customFormat="1" ht="30" customHeight="1" thickBot="1">
      <c r="A27" s="77" t="s">
        <v>4</v>
      </c>
      <c r="B27" s="160" t="s">
        <v>38</v>
      </c>
      <c r="C27" s="159"/>
      <c r="D27" s="77" t="s">
        <v>12</v>
      </c>
      <c r="E27" s="247" t="s">
        <v>13</v>
      </c>
      <c r="F27" s="248"/>
      <c r="G27" s="45"/>
    </row>
    <row r="28" spans="1:7" s="51" customFormat="1" ht="27">
      <c r="A28" s="47" t="s">
        <v>209</v>
      </c>
      <c r="B28" s="48">
        <v>12</v>
      </c>
      <c r="C28" s="151" t="str">
        <f xml:space="preserve"> IF(B28="","",setValueToTime(B28))</f>
        <v>1h</v>
      </c>
      <c r="D28" s="165" t="s">
        <v>210</v>
      </c>
      <c r="E28" s="239"/>
      <c r="F28" s="240"/>
      <c r="G28" s="50"/>
    </row>
    <row r="29" spans="1:7" s="51" customFormat="1" ht="54">
      <c r="A29" s="52" t="s">
        <v>208</v>
      </c>
      <c r="B29" s="53">
        <v>21</v>
      </c>
      <c r="C29" s="152" t="str">
        <f t="shared" ref="C29:C35" si="2" xml:space="preserve"> IF(B29="","",setValueToTime(B29))</f>
        <v>1h45min</v>
      </c>
      <c r="D29" s="166" t="s">
        <v>211</v>
      </c>
      <c r="E29" s="241"/>
      <c r="F29" s="242"/>
      <c r="G29" s="50"/>
    </row>
    <row r="30" spans="1:7" s="51" customFormat="1">
      <c r="A30" s="52" t="s">
        <v>15</v>
      </c>
      <c r="B30" s="53">
        <v>3</v>
      </c>
      <c r="C30" s="152" t="str">
        <f t="shared" si="2"/>
        <v>0h15min</v>
      </c>
      <c r="D30" s="166" t="s">
        <v>106</v>
      </c>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32</v>
      </c>
      <c r="C38" s="163"/>
      <c r="D38" s="156" t="s">
        <v>14</v>
      </c>
      <c r="E38" s="157" t="s">
        <v>206</v>
      </c>
      <c r="F38" s="158" t="s">
        <v>74</v>
      </c>
      <c r="G38" s="45"/>
    </row>
    <row r="39" spans="1:7" s="46" customFormat="1" ht="30" customHeight="1" thickBot="1">
      <c r="A39" s="77" t="s">
        <v>4</v>
      </c>
      <c r="B39" s="160" t="s">
        <v>38</v>
      </c>
      <c r="C39" s="159"/>
      <c r="D39" s="77" t="s">
        <v>12</v>
      </c>
      <c r="E39" s="247" t="s">
        <v>13</v>
      </c>
      <c r="F39" s="248"/>
      <c r="G39" s="45"/>
    </row>
    <row r="40" spans="1:7" s="51" customFormat="1" ht="67.5">
      <c r="A40" s="47" t="s">
        <v>66</v>
      </c>
      <c r="B40" s="48">
        <v>33</v>
      </c>
      <c r="C40" s="151" t="str">
        <f xml:space="preserve"> IF(B40="","",setValueToTime(B40))</f>
        <v>2h45min</v>
      </c>
      <c r="D40" s="165" t="s">
        <v>207</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31</v>
      </c>
      <c r="C50" s="163"/>
      <c r="D50" s="156" t="s">
        <v>14</v>
      </c>
      <c r="E50" s="157" t="s">
        <v>199</v>
      </c>
      <c r="F50" s="158" t="s">
        <v>75</v>
      </c>
      <c r="G50" s="45"/>
    </row>
    <row r="51" spans="1:7" s="46" customFormat="1" ht="30" customHeight="1" thickBot="1">
      <c r="A51" s="77" t="s">
        <v>4</v>
      </c>
      <c r="B51" s="160" t="s">
        <v>38</v>
      </c>
      <c r="C51" s="159"/>
      <c r="D51" s="77" t="s">
        <v>12</v>
      </c>
      <c r="E51" s="247" t="s">
        <v>13</v>
      </c>
      <c r="F51" s="248"/>
      <c r="G51" s="45"/>
    </row>
    <row r="52" spans="1:7" s="51" customFormat="1">
      <c r="A52" s="47" t="s">
        <v>63</v>
      </c>
      <c r="B52" s="48">
        <v>12</v>
      </c>
      <c r="C52" s="151" t="str">
        <f xml:space="preserve"> IF(B52="","",setValueToTime(B52))</f>
        <v>1h</v>
      </c>
      <c r="D52" s="165" t="s">
        <v>201</v>
      </c>
      <c r="E52" s="239"/>
      <c r="F52" s="240"/>
      <c r="G52" s="50"/>
    </row>
    <row r="53" spans="1:7" s="51" customFormat="1" ht="40.5">
      <c r="A53" s="52" t="s">
        <v>58</v>
      </c>
      <c r="B53" s="53">
        <v>12</v>
      </c>
      <c r="C53" s="152" t="str">
        <f t="shared" ref="C53:C59" si="4" xml:space="preserve"> IF(B53="","",setValueToTime(B53))</f>
        <v>1h</v>
      </c>
      <c r="D53" s="166" t="s">
        <v>202</v>
      </c>
      <c r="E53" s="241"/>
      <c r="F53" s="242"/>
      <c r="G53" s="50"/>
    </row>
    <row r="54" spans="1:7" s="51" customFormat="1">
      <c r="A54" s="52" t="s">
        <v>60</v>
      </c>
      <c r="B54" s="53">
        <v>9</v>
      </c>
      <c r="C54" s="152" t="str">
        <f t="shared" si="4"/>
        <v>0h45min</v>
      </c>
      <c r="D54" s="166" t="s">
        <v>203</v>
      </c>
      <c r="E54" s="241"/>
      <c r="F54" s="242"/>
      <c r="G54" s="50"/>
    </row>
    <row r="55" spans="1:7" s="51" customFormat="1">
      <c r="A55" s="52" t="s">
        <v>15</v>
      </c>
      <c r="B55" s="53">
        <v>3</v>
      </c>
      <c r="C55" s="152" t="str">
        <f t="shared" si="4"/>
        <v>0h15min</v>
      </c>
      <c r="D55" s="166" t="s">
        <v>106</v>
      </c>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30</v>
      </c>
      <c r="C62" s="163"/>
      <c r="D62" s="156" t="s">
        <v>14</v>
      </c>
      <c r="E62" s="157" t="s">
        <v>199</v>
      </c>
      <c r="F62" s="158" t="s">
        <v>74</v>
      </c>
      <c r="G62" s="45"/>
    </row>
    <row r="63" spans="1:7" s="46" customFormat="1" ht="30" customHeight="1" thickBot="1">
      <c r="A63" s="77" t="s">
        <v>4</v>
      </c>
      <c r="B63" s="160" t="s">
        <v>38</v>
      </c>
      <c r="C63" s="159"/>
      <c r="D63" s="77" t="s">
        <v>12</v>
      </c>
      <c r="E63" s="247" t="s">
        <v>13</v>
      </c>
      <c r="F63" s="248"/>
      <c r="G63" s="45"/>
    </row>
    <row r="64" spans="1:7" s="51" customFormat="1" ht="27">
      <c r="A64" s="47" t="s">
        <v>63</v>
      </c>
      <c r="B64" s="48">
        <v>42</v>
      </c>
      <c r="C64" s="151" t="str">
        <f xml:space="preserve"> IF(B64="","",setValueToTime(B64))</f>
        <v>3h30min</v>
      </c>
      <c r="D64" s="165" t="s">
        <v>200</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27.75" thickBot="1">
      <c r="A72" s="161" t="s">
        <v>27</v>
      </c>
      <c r="B72" s="82">
        <f>SUM(B64:B71)</f>
        <v>45</v>
      </c>
      <c r="C72" s="161" t="str">
        <f xml:space="preserve"> setValueToTime(B72)</f>
        <v>3h45min</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29</v>
      </c>
      <c r="C74" s="163"/>
      <c r="D74" s="156" t="s">
        <v>14</v>
      </c>
      <c r="E74" s="157" t="s">
        <v>192</v>
      </c>
      <c r="F74" s="158" t="s">
        <v>75</v>
      </c>
      <c r="G74" s="45"/>
    </row>
    <row r="75" spans="1:7" s="46" customFormat="1" ht="30" customHeight="1" thickBot="1">
      <c r="A75" s="77" t="s">
        <v>4</v>
      </c>
      <c r="B75" s="160" t="s">
        <v>38</v>
      </c>
      <c r="C75" s="159"/>
      <c r="D75" s="77" t="s">
        <v>12</v>
      </c>
      <c r="E75" s="247" t="s">
        <v>13</v>
      </c>
      <c r="F75" s="248"/>
      <c r="G75" s="45"/>
    </row>
    <row r="76" spans="1:7" s="51" customFormat="1" ht="27">
      <c r="A76" s="47" t="s">
        <v>63</v>
      </c>
      <c r="B76" s="48">
        <v>15</v>
      </c>
      <c r="C76" s="151" t="str">
        <f xml:space="preserve"> IF(B76="","",setValueToTime(B76))</f>
        <v>1h15min</v>
      </c>
      <c r="D76" s="165" t="s">
        <v>195</v>
      </c>
      <c r="E76" s="239"/>
      <c r="F76" s="240"/>
      <c r="G76" s="50"/>
    </row>
    <row r="77" spans="1:7" s="51" customFormat="1">
      <c r="A77" s="52" t="s">
        <v>66</v>
      </c>
      <c r="B77" s="53">
        <v>18</v>
      </c>
      <c r="C77" s="152" t="str">
        <f t="shared" ref="C77:C83" si="6" xml:space="preserve"> IF(B77="","",setValueToTime(B77))</f>
        <v>1h30min</v>
      </c>
      <c r="D77" s="166" t="s">
        <v>196</v>
      </c>
      <c r="E77" s="241"/>
      <c r="F77" s="242"/>
      <c r="G77" s="50"/>
    </row>
    <row r="78" spans="1:7" s="51" customFormat="1">
      <c r="A78" s="52" t="s">
        <v>15</v>
      </c>
      <c r="B78" s="53">
        <v>3</v>
      </c>
      <c r="C78" s="152" t="str">
        <f t="shared" si="6"/>
        <v>0h15min</v>
      </c>
      <c r="D78" s="166" t="s">
        <v>106</v>
      </c>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28</v>
      </c>
      <c r="C86" s="163"/>
      <c r="D86" s="156" t="s">
        <v>14</v>
      </c>
      <c r="E86" s="157" t="s">
        <v>192</v>
      </c>
      <c r="F86" s="158" t="s">
        <v>74</v>
      </c>
      <c r="G86" s="45"/>
    </row>
    <row r="87" spans="1:7" s="46" customFormat="1" ht="30" customHeight="1" thickBot="1">
      <c r="A87" s="77" t="s">
        <v>4</v>
      </c>
      <c r="B87" s="160" t="s">
        <v>38</v>
      </c>
      <c r="C87" s="159"/>
      <c r="D87" s="77" t="s">
        <v>12</v>
      </c>
      <c r="E87" s="247" t="s">
        <v>13</v>
      </c>
      <c r="F87" s="248"/>
      <c r="G87" s="45"/>
    </row>
    <row r="88" spans="1:7" s="51" customFormat="1" ht="40.5">
      <c r="A88" s="47" t="s">
        <v>117</v>
      </c>
      <c r="B88" s="48">
        <v>24</v>
      </c>
      <c r="C88" s="151" t="str">
        <f xml:space="preserve"> IF(B88="","",setValueToTime(B88))</f>
        <v>2h</v>
      </c>
      <c r="D88" s="165" t="s">
        <v>193</v>
      </c>
      <c r="E88" s="239"/>
      <c r="F88" s="240"/>
      <c r="G88" s="50"/>
    </row>
    <row r="89" spans="1:7" s="51" customFormat="1" ht="40.5">
      <c r="A89" s="52" t="s">
        <v>63</v>
      </c>
      <c r="B89" s="53">
        <v>18</v>
      </c>
      <c r="C89" s="152" t="str">
        <f t="shared" ref="C89:C95" si="7" xml:space="preserve"> IF(B89="","",setValueToTime(B89))</f>
        <v>1h30min</v>
      </c>
      <c r="D89" s="166" t="s">
        <v>194</v>
      </c>
      <c r="E89" s="250"/>
      <c r="F89" s="242"/>
      <c r="G89" s="50"/>
    </row>
    <row r="90" spans="1:7" s="51" customFormat="1">
      <c r="A90" s="52" t="s">
        <v>15</v>
      </c>
      <c r="B90" s="53">
        <v>3</v>
      </c>
      <c r="C90" s="152" t="str">
        <f t="shared" si="7"/>
        <v>0h15min</v>
      </c>
      <c r="D90" s="166" t="s">
        <v>106</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27.75" thickBot="1">
      <c r="A96" s="161" t="s">
        <v>27</v>
      </c>
      <c r="B96" s="82">
        <f>SUM(B88:B95)</f>
        <v>45</v>
      </c>
      <c r="C96" s="161" t="str">
        <f xml:space="preserve"> setValueToTime(B96)</f>
        <v>3h45min</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27</v>
      </c>
      <c r="C98" s="163"/>
      <c r="D98" s="156" t="s">
        <v>14</v>
      </c>
      <c r="E98" s="157">
        <v>44256</v>
      </c>
      <c r="F98" s="158" t="s">
        <v>74</v>
      </c>
      <c r="G98" s="45"/>
    </row>
    <row r="99" spans="1:7" s="46" customFormat="1" ht="30" customHeight="1" thickBot="1">
      <c r="A99" s="77" t="s">
        <v>4</v>
      </c>
      <c r="B99" s="160" t="s">
        <v>38</v>
      </c>
      <c r="C99" s="159"/>
      <c r="D99" s="77" t="s">
        <v>12</v>
      </c>
      <c r="E99" s="247" t="s">
        <v>13</v>
      </c>
      <c r="F99" s="248"/>
      <c r="G99" s="45"/>
    </row>
    <row r="100" spans="1:7" s="51" customFormat="1" ht="27">
      <c r="A100" s="47" t="s">
        <v>117</v>
      </c>
      <c r="B100" s="48">
        <v>15</v>
      </c>
      <c r="C100" s="151" t="str">
        <f xml:space="preserve"> IF(B100="","",setValueToTime(B100))</f>
        <v>1h15min</v>
      </c>
      <c r="D100" s="165" t="s">
        <v>190</v>
      </c>
      <c r="E100" s="239"/>
      <c r="F100" s="240"/>
      <c r="G100" s="50"/>
    </row>
    <row r="101" spans="1:7" s="51" customFormat="1" ht="27">
      <c r="A101" s="52" t="s">
        <v>66</v>
      </c>
      <c r="B101" s="53">
        <v>18</v>
      </c>
      <c r="C101" s="152" t="str">
        <f t="shared" ref="C101:C107" si="8" xml:space="preserve"> IF(B101="","",setValueToTime(B101))</f>
        <v>1h30min</v>
      </c>
      <c r="D101" s="166" t="s">
        <v>191</v>
      </c>
      <c r="E101" s="241"/>
      <c r="F101" s="242"/>
      <c r="G101" s="50"/>
    </row>
    <row r="102" spans="1:7" s="51" customFormat="1">
      <c r="A102" s="52" t="s">
        <v>15</v>
      </c>
      <c r="B102" s="53">
        <v>3</v>
      </c>
      <c r="C102" s="152" t="str">
        <f t="shared" si="8"/>
        <v>0h15min</v>
      </c>
      <c r="D102" s="166" t="s">
        <v>106</v>
      </c>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26</v>
      </c>
      <c r="C110" s="163"/>
      <c r="D110" s="156" t="s">
        <v>14</v>
      </c>
      <c r="E110" s="157" t="s">
        <v>184</v>
      </c>
      <c r="F110" s="158" t="s">
        <v>75</v>
      </c>
      <c r="G110" s="45"/>
    </row>
    <row r="111" spans="1:7" s="46" customFormat="1" ht="30" customHeight="1" thickBot="1">
      <c r="A111" s="77" t="s">
        <v>4</v>
      </c>
      <c r="B111" s="160" t="s">
        <v>38</v>
      </c>
      <c r="C111" s="159"/>
      <c r="D111" s="77" t="s">
        <v>12</v>
      </c>
      <c r="E111" s="247" t="s">
        <v>13</v>
      </c>
      <c r="F111" s="248"/>
      <c r="G111" s="45"/>
    </row>
    <row r="112" spans="1:7" s="51" customFormat="1" ht="54">
      <c r="A112" s="47" t="s">
        <v>117</v>
      </c>
      <c r="B112" s="48">
        <v>33</v>
      </c>
      <c r="C112" s="151" t="str">
        <f xml:space="preserve"> IF(B112="","",setValueToTime(B112))</f>
        <v>2h45min</v>
      </c>
      <c r="D112" s="165" t="s">
        <v>186</v>
      </c>
      <c r="E112" s="239"/>
      <c r="F112" s="240"/>
      <c r="G112" s="50"/>
    </row>
    <row r="113" spans="1:7" s="51" customFormat="1">
      <c r="A113" s="52" t="s">
        <v>15</v>
      </c>
      <c r="B113" s="53">
        <v>3</v>
      </c>
      <c r="C113" s="152" t="str">
        <f t="shared" ref="C113:C119" si="9" xml:space="preserve"> IF(B113="","",setValueToTime(B113))</f>
        <v>0h15min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25</v>
      </c>
      <c r="C122" s="163"/>
      <c r="D122" s="156" t="s">
        <v>14</v>
      </c>
      <c r="E122" s="157" t="s">
        <v>184</v>
      </c>
      <c r="F122" s="158" t="s">
        <v>74</v>
      </c>
      <c r="G122" s="45"/>
    </row>
    <row r="123" spans="1:7" s="46" customFormat="1" ht="30" customHeight="1" thickBot="1">
      <c r="A123" s="77" t="s">
        <v>4</v>
      </c>
      <c r="B123" s="160" t="s">
        <v>38</v>
      </c>
      <c r="C123" s="159"/>
      <c r="D123" s="77" t="s">
        <v>12</v>
      </c>
      <c r="E123" s="247" t="s">
        <v>13</v>
      </c>
      <c r="F123" s="248"/>
      <c r="G123" s="45"/>
    </row>
    <row r="124" spans="1:7" s="51" customFormat="1" ht="108">
      <c r="A124" s="47" t="s">
        <v>117</v>
      </c>
      <c r="B124" s="48">
        <v>33</v>
      </c>
      <c r="C124" s="151" t="str">
        <f xml:space="preserve"> IF(B124="","",setValueToTime(B124))</f>
        <v>2h45min</v>
      </c>
      <c r="D124" s="165" t="s">
        <v>185</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24</v>
      </c>
      <c r="C134" s="163"/>
      <c r="D134" s="156" t="s">
        <v>14</v>
      </c>
      <c r="E134" s="157" t="s">
        <v>178</v>
      </c>
      <c r="F134" s="158" t="s">
        <v>75</v>
      </c>
      <c r="G134" s="45"/>
    </row>
    <row r="135" spans="1:7" s="46" customFormat="1" ht="30" customHeight="1" thickBot="1">
      <c r="A135" s="77" t="s">
        <v>4</v>
      </c>
      <c r="B135" s="160" t="s">
        <v>38</v>
      </c>
      <c r="C135" s="159"/>
      <c r="D135" s="77" t="s">
        <v>12</v>
      </c>
      <c r="E135" s="247" t="s">
        <v>13</v>
      </c>
      <c r="F135" s="248"/>
      <c r="G135" s="45"/>
    </row>
    <row r="136" spans="1:7" s="51" customFormat="1" ht="27">
      <c r="A136" s="47" t="s">
        <v>117</v>
      </c>
      <c r="B136" s="48">
        <v>16</v>
      </c>
      <c r="C136" s="151" t="str">
        <f xml:space="preserve"> IF(B136="","",setValueToTime(B136))</f>
        <v>1h20min</v>
      </c>
      <c r="D136" s="165" t="s">
        <v>182</v>
      </c>
      <c r="E136" s="239"/>
      <c r="F136" s="240"/>
      <c r="G136" s="50"/>
    </row>
    <row r="137" spans="1:7" s="51" customFormat="1" ht="40.5">
      <c r="A137" s="52" t="s">
        <v>66</v>
      </c>
      <c r="B137" s="53">
        <v>17</v>
      </c>
      <c r="C137" s="152" t="str">
        <f t="shared" ref="C137:C143" si="11" xml:space="preserve"> IF(B137="","",setValueToTime(B137))</f>
        <v>1h25min</v>
      </c>
      <c r="D137" s="166" t="s">
        <v>183</v>
      </c>
      <c r="E137" s="241"/>
      <c r="F137" s="242"/>
      <c r="G137" s="50"/>
    </row>
    <row r="138" spans="1:7" s="51" customFormat="1">
      <c r="A138" s="52" t="s">
        <v>15</v>
      </c>
      <c r="B138" s="53">
        <v>3</v>
      </c>
      <c r="C138" s="152" t="str">
        <f t="shared" si="11"/>
        <v>0h15min</v>
      </c>
      <c r="D138" s="166" t="s">
        <v>151</v>
      </c>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23</v>
      </c>
      <c r="C146" s="163"/>
      <c r="D146" s="156" t="s">
        <v>14</v>
      </c>
      <c r="E146" s="157" t="s">
        <v>178</v>
      </c>
      <c r="F146" s="158" t="s">
        <v>74</v>
      </c>
      <c r="G146" s="45"/>
    </row>
    <row r="147" spans="1:7" s="46" customFormat="1" ht="30" customHeight="1" thickBot="1">
      <c r="A147" s="77" t="s">
        <v>4</v>
      </c>
      <c r="B147" s="160" t="s">
        <v>38</v>
      </c>
      <c r="C147" s="159"/>
      <c r="D147" s="77" t="s">
        <v>12</v>
      </c>
      <c r="E147" s="247" t="s">
        <v>13</v>
      </c>
      <c r="F147" s="248"/>
      <c r="G147" s="45"/>
    </row>
    <row r="148" spans="1:7" s="51" customFormat="1" ht="40.5">
      <c r="A148" s="47" t="s">
        <v>117</v>
      </c>
      <c r="B148" s="48">
        <v>42</v>
      </c>
      <c r="C148" s="151" t="str">
        <f xml:space="preserve"> IF(B148="","",setValueToTime(B148))</f>
        <v>3h30min</v>
      </c>
      <c r="D148" s="165" t="s">
        <v>181</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27.75" thickBot="1">
      <c r="A156" s="161" t="s">
        <v>27</v>
      </c>
      <c r="B156" s="82">
        <f>SUM(B148:B155)</f>
        <v>45</v>
      </c>
      <c r="C156" s="161" t="str">
        <f xml:space="preserve"> setValueToTime(B156)</f>
        <v>3h45min</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22</v>
      </c>
      <c r="C158" s="163"/>
      <c r="D158" s="156" t="s">
        <v>14</v>
      </c>
      <c r="E158" s="157" t="s">
        <v>177</v>
      </c>
      <c r="F158" s="158" t="s">
        <v>75</v>
      </c>
      <c r="G158" s="45"/>
    </row>
    <row r="159" spans="1:7" s="46" customFormat="1" ht="30" customHeight="1" thickBot="1">
      <c r="A159" s="77" t="s">
        <v>4</v>
      </c>
      <c r="B159" s="160" t="s">
        <v>38</v>
      </c>
      <c r="C159" s="159"/>
      <c r="D159" s="77" t="s">
        <v>12</v>
      </c>
      <c r="E159" s="247" t="s">
        <v>13</v>
      </c>
      <c r="F159" s="248"/>
      <c r="G159" s="45"/>
    </row>
    <row r="160" spans="1:7" s="51" customFormat="1">
      <c r="A160" s="47" t="s">
        <v>66</v>
      </c>
      <c r="B160" s="48">
        <v>18</v>
      </c>
      <c r="C160" s="151" t="str">
        <f xml:space="preserve"> IF(B160="","",setValueToTime(B160))</f>
        <v>1h30min</v>
      </c>
      <c r="D160" s="165" t="s">
        <v>179</v>
      </c>
      <c r="E160" s="239"/>
      <c r="F160" s="240"/>
      <c r="G160" s="50"/>
    </row>
    <row r="161" spans="1:7" s="51" customFormat="1" ht="27">
      <c r="A161" s="52" t="s">
        <v>117</v>
      </c>
      <c r="B161" s="53">
        <v>15</v>
      </c>
      <c r="C161" s="152" t="str">
        <f t="shared" ref="C161:C167" si="13" xml:space="preserve"> IF(B161="","",setValueToTime(B161))</f>
        <v>1h15min</v>
      </c>
      <c r="D161" s="166" t="s">
        <v>180</v>
      </c>
      <c r="E161" s="241"/>
      <c r="F161" s="242"/>
      <c r="G161" s="50"/>
    </row>
    <row r="162" spans="1:7" s="51" customFormat="1">
      <c r="A162" s="52" t="s">
        <v>15</v>
      </c>
      <c r="B162" s="53">
        <v>3</v>
      </c>
      <c r="C162" s="152" t="str">
        <f t="shared" si="13"/>
        <v>0h15min</v>
      </c>
      <c r="D162" s="166" t="s">
        <v>151</v>
      </c>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21</v>
      </c>
      <c r="C170" s="163"/>
      <c r="D170" s="156" t="s">
        <v>14</v>
      </c>
      <c r="E170" s="157">
        <v>44244</v>
      </c>
      <c r="F170" s="158" t="s">
        <v>74</v>
      </c>
      <c r="G170" s="45"/>
    </row>
    <row r="171" spans="1:7" s="46" customFormat="1" ht="30" customHeight="1" thickBot="1">
      <c r="A171" s="77" t="s">
        <v>4</v>
      </c>
      <c r="B171" s="160" t="s">
        <v>38</v>
      </c>
      <c r="C171" s="159"/>
      <c r="D171" s="77" t="s">
        <v>12</v>
      </c>
      <c r="E171" s="247" t="s">
        <v>13</v>
      </c>
      <c r="F171" s="248"/>
      <c r="G171" s="45"/>
    </row>
    <row r="172" spans="1:7" s="51" customFormat="1" ht="67.5">
      <c r="A172" s="47" t="s">
        <v>165</v>
      </c>
      <c r="B172" s="48">
        <v>42</v>
      </c>
      <c r="C172" s="151" t="str">
        <f xml:space="preserve"> IF(B172="","",setValueToTime(B172))</f>
        <v>3h30min</v>
      </c>
      <c r="D172" s="165" t="s">
        <v>172</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27.75" thickBot="1">
      <c r="A180" s="161" t="s">
        <v>27</v>
      </c>
      <c r="B180" s="82">
        <f>SUM(B172:B179)</f>
        <v>45</v>
      </c>
      <c r="C180" s="161" t="str">
        <f xml:space="preserve"> setValueToTime(B180)</f>
        <v>3h45min</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20</v>
      </c>
      <c r="C182" s="163"/>
      <c r="D182" s="156" t="s">
        <v>14</v>
      </c>
      <c r="E182" s="157" t="s">
        <v>153</v>
      </c>
      <c r="F182" s="158" t="s">
        <v>75</v>
      </c>
      <c r="G182" s="45"/>
    </row>
    <row r="183" spans="1:7" s="46" customFormat="1" ht="30" customHeight="1" thickBot="1">
      <c r="A183" s="77" t="s">
        <v>4</v>
      </c>
      <c r="B183" s="160" t="s">
        <v>38</v>
      </c>
      <c r="C183" s="159"/>
      <c r="D183" s="77" t="s">
        <v>12</v>
      </c>
      <c r="E183" s="247" t="s">
        <v>13</v>
      </c>
      <c r="F183" s="248"/>
      <c r="G183" s="45"/>
    </row>
    <row r="184" spans="1:7" s="51" customFormat="1" ht="27">
      <c r="A184" s="47" t="s">
        <v>165</v>
      </c>
      <c r="B184" s="48">
        <v>33</v>
      </c>
      <c r="C184" s="151" t="str">
        <f xml:space="preserve"> IF(B184="","",setValueToTime(B184))</f>
        <v>2h45min</v>
      </c>
      <c r="D184" s="165" t="s">
        <v>168</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19</v>
      </c>
      <c r="C194" s="163"/>
      <c r="D194" s="156" t="s">
        <v>14</v>
      </c>
      <c r="E194" s="157" t="s">
        <v>153</v>
      </c>
      <c r="F194" s="158" t="s">
        <v>74</v>
      </c>
      <c r="G194" s="45"/>
    </row>
    <row r="195" spans="1:7" s="46" customFormat="1" ht="30" customHeight="1" thickBot="1">
      <c r="A195" s="77" t="s">
        <v>4</v>
      </c>
      <c r="B195" s="160" t="s">
        <v>38</v>
      </c>
      <c r="C195" s="159"/>
      <c r="D195" s="77" t="s">
        <v>12</v>
      </c>
      <c r="E195" s="247" t="s">
        <v>13</v>
      </c>
      <c r="F195" s="248"/>
      <c r="G195" s="45"/>
    </row>
    <row r="196" spans="1:7" s="51" customFormat="1">
      <c r="A196" s="47" t="s">
        <v>50</v>
      </c>
      <c r="B196" s="48">
        <v>32</v>
      </c>
      <c r="C196" s="151" t="str">
        <f xml:space="preserve"> IF(B196="","",setValueToTime(B196))</f>
        <v>2h40min</v>
      </c>
      <c r="D196" s="165" t="s">
        <v>167</v>
      </c>
      <c r="E196" s="239"/>
      <c r="F196" s="240"/>
      <c r="G196" s="50"/>
    </row>
    <row r="197" spans="1:7" s="51" customFormat="1">
      <c r="A197" s="52" t="s">
        <v>15</v>
      </c>
      <c r="B197" s="53">
        <v>2</v>
      </c>
      <c r="C197" s="152" t="str">
        <f t="shared" ref="C197:C203" si="16" xml:space="preserve"> IF(B197="","",setValueToTime(B197))</f>
        <v>0h10min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27.75" thickBot="1">
      <c r="A204" s="161" t="s">
        <v>27</v>
      </c>
      <c r="B204" s="82">
        <f>SUM(B196:B203)</f>
        <v>34</v>
      </c>
      <c r="C204" s="161" t="str">
        <f xml:space="preserve"> setValueToTime(B204)</f>
        <v>2h50min</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18</v>
      </c>
      <c r="C206" s="163"/>
      <c r="D206" s="156" t="s">
        <v>14</v>
      </c>
      <c r="E206" s="157" t="s">
        <v>156</v>
      </c>
      <c r="F206" s="158" t="s">
        <v>75</v>
      </c>
      <c r="G206" s="45"/>
    </row>
    <row r="207" spans="1:7" s="46" customFormat="1" ht="30" customHeight="1" thickBot="1">
      <c r="A207" s="77" t="s">
        <v>4</v>
      </c>
      <c r="B207" s="160" t="s">
        <v>38</v>
      </c>
      <c r="C207" s="159"/>
      <c r="D207" s="77" t="s">
        <v>12</v>
      </c>
      <c r="E207" s="247" t="s">
        <v>13</v>
      </c>
      <c r="F207" s="248"/>
      <c r="G207" s="45"/>
    </row>
    <row r="208" spans="1:7" s="51" customFormat="1">
      <c r="A208" s="47" t="s">
        <v>50</v>
      </c>
      <c r="B208" s="48">
        <v>33</v>
      </c>
      <c r="C208" s="151" t="str">
        <f xml:space="preserve"> IF(B208="","",setValueToTime(B208))</f>
        <v>2h45min</v>
      </c>
      <c r="D208" s="165" t="s">
        <v>163</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17</v>
      </c>
      <c r="C218" s="163"/>
      <c r="D218" s="156" t="s">
        <v>14</v>
      </c>
      <c r="E218" s="157" t="s">
        <v>156</v>
      </c>
      <c r="F218" s="158" t="s">
        <v>74</v>
      </c>
      <c r="G218" s="45"/>
    </row>
    <row r="219" spans="1:7" s="46" customFormat="1" ht="30" customHeight="1" thickBot="1">
      <c r="A219" s="77" t="s">
        <v>4</v>
      </c>
      <c r="B219" s="160" t="s">
        <v>38</v>
      </c>
      <c r="C219" s="159"/>
      <c r="D219" s="77" t="s">
        <v>12</v>
      </c>
      <c r="E219" s="247" t="s">
        <v>13</v>
      </c>
      <c r="F219" s="248"/>
      <c r="G219" s="45"/>
    </row>
    <row r="220" spans="1:7" s="51" customFormat="1" ht="40.5">
      <c r="A220" s="47" t="s">
        <v>50</v>
      </c>
      <c r="B220" s="48">
        <v>43</v>
      </c>
      <c r="C220" s="151" t="str">
        <f xml:space="preserve"> IF(B220="","",setValueToTime(B220))</f>
        <v>3h35min</v>
      </c>
      <c r="D220" s="165" t="s">
        <v>162</v>
      </c>
      <c r="E220" s="239"/>
      <c r="F220" s="240"/>
      <c r="G220" s="50"/>
    </row>
    <row r="221" spans="1:7" s="51" customFormat="1">
      <c r="A221" s="52" t="s">
        <v>15</v>
      </c>
      <c r="B221" s="53">
        <v>2</v>
      </c>
      <c r="C221" s="152" t="str">
        <f t="shared" ref="C221:C227" si="18" xml:space="preserve"> IF(B221="","",setValueToTime(B221))</f>
        <v>0h10min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27.75" thickBot="1">
      <c r="A228" s="161" t="s">
        <v>27</v>
      </c>
      <c r="B228" s="82">
        <f>SUM(B220:B227)</f>
        <v>45</v>
      </c>
      <c r="C228" s="161" t="str">
        <f xml:space="preserve"> setValueToTime(B228)</f>
        <v>3h45min</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16</v>
      </c>
      <c r="C230" s="163"/>
      <c r="D230" s="156" t="s">
        <v>14</v>
      </c>
      <c r="E230" s="157" t="s">
        <v>146</v>
      </c>
      <c r="F230" s="158" t="s">
        <v>75</v>
      </c>
      <c r="G230" s="45"/>
    </row>
    <row r="231" spans="1:7" s="46" customFormat="1" ht="30" customHeight="1" thickBot="1">
      <c r="A231" s="77" t="s">
        <v>4</v>
      </c>
      <c r="B231" s="160" t="s">
        <v>38</v>
      </c>
      <c r="C231" s="159"/>
      <c r="D231" s="77" t="s">
        <v>12</v>
      </c>
      <c r="E231" s="247" t="s">
        <v>13</v>
      </c>
      <c r="F231" s="248"/>
      <c r="G231" s="45"/>
    </row>
    <row r="232" spans="1:7" s="51" customFormat="1">
      <c r="A232" s="47" t="s">
        <v>50</v>
      </c>
      <c r="B232" s="48">
        <v>33</v>
      </c>
      <c r="C232" s="151" t="str">
        <f xml:space="preserve"> IF(B232="","",setValueToTime(B232))</f>
        <v>2h45min</v>
      </c>
      <c r="D232" s="165" t="s">
        <v>150</v>
      </c>
      <c r="E232" s="239"/>
      <c r="F232" s="240"/>
      <c r="G232" s="50"/>
    </row>
    <row r="233" spans="1:7" s="51" customFormat="1">
      <c r="A233" s="52" t="s">
        <v>15</v>
      </c>
      <c r="B233" s="53">
        <v>3</v>
      </c>
      <c r="C233" s="152" t="str">
        <f t="shared" ref="C233:C239" si="19" xml:space="preserve"> IF(B233="","",setValueToTime(B233))</f>
        <v>0h15min</v>
      </c>
      <c r="D233" s="166" t="s">
        <v>151</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15</v>
      </c>
      <c r="C242" s="163"/>
      <c r="D242" s="156" t="s">
        <v>14</v>
      </c>
      <c r="E242" s="157" t="s">
        <v>146</v>
      </c>
      <c r="F242" s="158" t="s">
        <v>74</v>
      </c>
      <c r="G242" s="45"/>
    </row>
    <row r="243" spans="1:7" s="46" customFormat="1" ht="30" customHeight="1" thickBot="1">
      <c r="A243" s="77" t="s">
        <v>4</v>
      </c>
      <c r="B243" s="160" t="s">
        <v>38</v>
      </c>
      <c r="C243" s="159"/>
      <c r="D243" s="77" t="s">
        <v>12</v>
      </c>
      <c r="E243" s="247" t="s">
        <v>13</v>
      </c>
      <c r="F243" s="248"/>
      <c r="G243" s="45"/>
    </row>
    <row r="244" spans="1:7" s="51" customFormat="1">
      <c r="A244" s="47" t="s">
        <v>51</v>
      </c>
      <c r="B244" s="48">
        <v>6</v>
      </c>
      <c r="C244" s="151" t="str">
        <f xml:space="preserve"> IF(B244="","",setValueToTime(B244))</f>
        <v>0h30min</v>
      </c>
      <c r="D244" s="165" t="s">
        <v>147</v>
      </c>
      <c r="E244" s="239"/>
      <c r="F244" s="240"/>
      <c r="G244" s="50"/>
    </row>
    <row r="245" spans="1:7" s="51" customFormat="1">
      <c r="A245" s="52" t="s">
        <v>56</v>
      </c>
      <c r="B245" s="53">
        <v>6</v>
      </c>
      <c r="C245" s="152" t="str">
        <f t="shared" ref="C245:C251" si="20" xml:space="preserve"> IF(B245="","",setValueToTime(B245))</f>
        <v>0h30min</v>
      </c>
      <c r="D245" s="166" t="s">
        <v>148</v>
      </c>
      <c r="E245" s="241"/>
      <c r="F245" s="242"/>
      <c r="G245" s="50"/>
    </row>
    <row r="246" spans="1:7" s="51" customFormat="1">
      <c r="A246" s="52" t="s">
        <v>66</v>
      </c>
      <c r="B246" s="53">
        <v>24</v>
      </c>
      <c r="C246" s="152" t="str">
        <f t="shared" si="20"/>
        <v>2h</v>
      </c>
      <c r="D246" s="166" t="s">
        <v>149</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14</v>
      </c>
      <c r="C254" s="163"/>
      <c r="D254" s="156" t="s">
        <v>14</v>
      </c>
      <c r="E254" s="157">
        <v>44235</v>
      </c>
      <c r="F254" s="158" t="s">
        <v>86</v>
      </c>
      <c r="G254" s="45"/>
    </row>
    <row r="255" spans="1:7" s="46" customFormat="1" ht="30" customHeight="1" thickBot="1">
      <c r="A255" s="77" t="s">
        <v>4</v>
      </c>
      <c r="B255" s="160" t="s">
        <v>38</v>
      </c>
      <c r="C255" s="159"/>
      <c r="D255" s="77" t="s">
        <v>12</v>
      </c>
      <c r="E255" s="247" t="s">
        <v>13</v>
      </c>
      <c r="F255" s="248"/>
      <c r="G255" s="45"/>
    </row>
    <row r="256" spans="1:7" s="51" customFormat="1">
      <c r="A256" s="47" t="s">
        <v>51</v>
      </c>
      <c r="B256" s="48">
        <v>36</v>
      </c>
      <c r="C256" s="151" t="str">
        <f xml:space="preserve"> IF(B256="","",setValueToTime(B256))</f>
        <v>3h</v>
      </c>
      <c r="D256" s="165" t="s">
        <v>141</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13</v>
      </c>
      <c r="C266" s="163"/>
      <c r="D266" s="156" t="s">
        <v>14</v>
      </c>
      <c r="E266" s="157" t="s">
        <v>138</v>
      </c>
      <c r="F266" s="158" t="s">
        <v>75</v>
      </c>
      <c r="G266" s="45"/>
    </row>
    <row r="267" spans="1:7" s="46" customFormat="1" ht="30" customHeight="1" thickBot="1">
      <c r="A267" s="77" t="s">
        <v>4</v>
      </c>
      <c r="B267" s="160" t="s">
        <v>38</v>
      </c>
      <c r="C267" s="159"/>
      <c r="D267" s="77" t="s">
        <v>12</v>
      </c>
      <c r="E267" s="247" t="s">
        <v>13</v>
      </c>
      <c r="F267" s="248"/>
      <c r="G267" s="45"/>
    </row>
    <row r="268" spans="1:7" s="51" customFormat="1" ht="27">
      <c r="A268" s="197" t="s">
        <v>66</v>
      </c>
      <c r="B268" s="48">
        <v>33</v>
      </c>
      <c r="C268" s="151" t="str">
        <f xml:space="preserve"> IF(B268="","",setValueToTime(B268))</f>
        <v>2h45min</v>
      </c>
      <c r="D268" s="165" t="s">
        <v>140</v>
      </c>
      <c r="E268" s="239"/>
      <c r="F268" s="240"/>
      <c r="G268" s="50"/>
    </row>
    <row r="269" spans="1:7" s="51" customFormat="1">
      <c r="A269" s="52" t="s">
        <v>15</v>
      </c>
      <c r="B269" s="53">
        <v>3</v>
      </c>
      <c r="C269" s="152" t="str">
        <f t="shared" ref="C269:C275" si="22" xml:space="preserve"> IF(B269="","",setValueToTime(B269))</f>
        <v>0h15min</v>
      </c>
      <c r="D269" s="166" t="s">
        <v>106</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12</v>
      </c>
      <c r="C278" s="163"/>
      <c r="D278" s="156" t="s">
        <v>14</v>
      </c>
      <c r="E278" s="157" t="s">
        <v>138</v>
      </c>
      <c r="F278" s="158" t="s">
        <v>74</v>
      </c>
      <c r="G278" s="45"/>
    </row>
    <row r="279" spans="1:7" s="46" customFormat="1" ht="30" customHeight="1" thickBot="1">
      <c r="A279" s="77" t="s">
        <v>4</v>
      </c>
      <c r="B279" s="160" t="s">
        <v>38</v>
      </c>
      <c r="C279" s="159"/>
      <c r="D279" s="77" t="s">
        <v>12</v>
      </c>
      <c r="E279" s="247" t="s">
        <v>13</v>
      </c>
      <c r="F279" s="248"/>
      <c r="G279" s="45"/>
    </row>
    <row r="280" spans="1:7" s="51" customFormat="1" ht="81">
      <c r="A280" s="47" t="s">
        <v>60</v>
      </c>
      <c r="B280" s="48">
        <v>33</v>
      </c>
      <c r="C280" s="151" t="str">
        <f xml:space="preserve"> IF(B280="","",setValueToTime(B280))</f>
        <v>2h45min</v>
      </c>
      <c r="D280" s="165" t="s">
        <v>139</v>
      </c>
      <c r="E280" s="239"/>
      <c r="F280" s="240"/>
      <c r="G280" s="50"/>
    </row>
    <row r="281" spans="1:7" s="51" customFormat="1">
      <c r="A281" s="52" t="s">
        <v>15</v>
      </c>
      <c r="B281" s="53">
        <v>3</v>
      </c>
      <c r="C281" s="152" t="str">
        <f t="shared" ref="C281:C287" si="23" xml:space="preserve"> IF(B281="","",setValueToTime(B281))</f>
        <v>0h15min</v>
      </c>
      <c r="D281" s="166" t="s">
        <v>106</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11</v>
      </c>
      <c r="C290" s="163"/>
      <c r="D290" s="156" t="s">
        <v>14</v>
      </c>
      <c r="E290" s="157" t="s">
        <v>135</v>
      </c>
      <c r="F290" s="158" t="s">
        <v>75</v>
      </c>
      <c r="G290" s="45"/>
    </row>
    <row r="291" spans="1:7" s="46" customFormat="1" ht="30" customHeight="1" thickBot="1">
      <c r="A291" s="77" t="s">
        <v>4</v>
      </c>
      <c r="B291" s="160" t="s">
        <v>38</v>
      </c>
      <c r="C291" s="159"/>
      <c r="D291" s="77" t="s">
        <v>12</v>
      </c>
      <c r="E291" s="247" t="s">
        <v>13</v>
      </c>
      <c r="F291" s="248"/>
      <c r="G291" s="45"/>
    </row>
    <row r="292" spans="1:7" s="51" customFormat="1" ht="54">
      <c r="A292" s="47" t="s">
        <v>60</v>
      </c>
      <c r="B292" s="48">
        <v>33</v>
      </c>
      <c r="C292" s="151" t="str">
        <f xml:space="preserve"> IF(B292="","",setValueToTime(B292))</f>
        <v>2h45min</v>
      </c>
      <c r="D292" s="165" t="s">
        <v>137</v>
      </c>
      <c r="E292" s="239"/>
      <c r="F292" s="240"/>
      <c r="G292" s="50"/>
    </row>
    <row r="293" spans="1:7" s="51" customFormat="1">
      <c r="A293" s="52" t="s">
        <v>15</v>
      </c>
      <c r="B293" s="53">
        <v>3</v>
      </c>
      <c r="C293" s="152" t="str">
        <f t="shared" ref="C293:C299" si="24" xml:space="preserve"> IF(B293="","",setValueToTime(B293))</f>
        <v>0h15min</v>
      </c>
      <c r="D293" s="166" t="s">
        <v>106</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10</v>
      </c>
      <c r="C302" s="163"/>
      <c r="D302" s="156" t="s">
        <v>14</v>
      </c>
      <c r="E302" s="157" t="s">
        <v>135</v>
      </c>
      <c r="F302" s="158" t="s">
        <v>74</v>
      </c>
      <c r="G302" s="45"/>
    </row>
    <row r="303" spans="1:7" s="46" customFormat="1" ht="30" customHeight="1" thickBot="1">
      <c r="A303" s="77" t="s">
        <v>4</v>
      </c>
      <c r="B303" s="160" t="s">
        <v>38</v>
      </c>
      <c r="C303" s="159"/>
      <c r="D303" s="77" t="s">
        <v>12</v>
      </c>
      <c r="E303" s="247" t="s">
        <v>13</v>
      </c>
      <c r="F303" s="248"/>
      <c r="G303" s="45"/>
    </row>
    <row r="304" spans="1:7" s="51" customFormat="1" ht="40.5">
      <c r="A304" s="47" t="s">
        <v>59</v>
      </c>
      <c r="B304" s="48">
        <v>42</v>
      </c>
      <c r="C304" s="151" t="str">
        <f xml:space="preserve"> IF(B304="","",setValueToTime(B304))</f>
        <v>3h30min</v>
      </c>
      <c r="D304" s="165" t="s">
        <v>136</v>
      </c>
      <c r="E304" s="239"/>
      <c r="F304" s="240"/>
      <c r="G304" s="50"/>
    </row>
    <row r="305" spans="1:7" s="51" customFormat="1">
      <c r="A305" s="52" t="s">
        <v>15</v>
      </c>
      <c r="B305" s="53">
        <v>3</v>
      </c>
      <c r="C305" s="152" t="str">
        <f t="shared" ref="C305:C311" si="25" xml:space="preserve"> IF(B305="","",setValueToTime(B305))</f>
        <v>0h15min</v>
      </c>
      <c r="D305" s="166" t="s">
        <v>106</v>
      </c>
      <c r="E305" s="241"/>
      <c r="F305" s="242"/>
      <c r="G305" s="50"/>
    </row>
    <row r="306" spans="1:7" s="51" customFormat="1">
      <c r="A306" s="52"/>
      <c r="B306" s="53"/>
      <c r="C306" s="152" t="str">
        <f t="shared" si="25"/>
        <v/>
      </c>
      <c r="D306" s="54"/>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27.75" thickBot="1">
      <c r="A312" s="161" t="s">
        <v>27</v>
      </c>
      <c r="B312" s="82">
        <f>SUM(B304:B311)</f>
        <v>45</v>
      </c>
      <c r="C312" s="161" t="str">
        <f xml:space="preserve"> setValueToTime(B312)</f>
        <v>3h45min</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9</v>
      </c>
      <c r="C314" s="163"/>
      <c r="D314" s="156" t="s">
        <v>14</v>
      </c>
      <c r="E314" s="157" t="s">
        <v>126</v>
      </c>
      <c r="F314" s="158" t="s">
        <v>75</v>
      </c>
      <c r="G314" s="45"/>
    </row>
    <row r="315" spans="1:7" s="46" customFormat="1" ht="30" customHeight="1" thickBot="1">
      <c r="A315" s="77" t="s">
        <v>4</v>
      </c>
      <c r="B315" s="160" t="s">
        <v>38</v>
      </c>
      <c r="C315" s="159"/>
      <c r="D315" s="77" t="s">
        <v>12</v>
      </c>
      <c r="E315" s="247" t="s">
        <v>13</v>
      </c>
      <c r="F315" s="248"/>
      <c r="G315" s="45"/>
    </row>
    <row r="316" spans="1:7" s="51" customFormat="1" ht="27">
      <c r="A316" s="47" t="s">
        <v>59</v>
      </c>
      <c r="B316" s="48">
        <v>33</v>
      </c>
      <c r="C316" s="151" t="str">
        <f xml:space="preserve"> IF(B316="","",setValueToTime(B316))</f>
        <v>2h45min</v>
      </c>
      <c r="D316" s="165" t="s">
        <v>134</v>
      </c>
      <c r="E316" s="239"/>
      <c r="F316" s="240"/>
      <c r="G316" s="50"/>
    </row>
    <row r="317" spans="1:7" s="51" customFormat="1">
      <c r="A317" s="52" t="s">
        <v>15</v>
      </c>
      <c r="B317" s="53">
        <v>3</v>
      </c>
      <c r="C317" s="152" t="str">
        <f t="shared" ref="C317:C323" si="26" xml:space="preserve"> IF(B317="","",setValueToTime(B317))</f>
        <v>0h15min</v>
      </c>
      <c r="D317" s="166" t="s">
        <v>106</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8</v>
      </c>
      <c r="C326" s="163"/>
      <c r="D326" s="156" t="s">
        <v>14</v>
      </c>
      <c r="E326" s="157" t="s">
        <v>126</v>
      </c>
      <c r="F326" s="158" t="s">
        <v>74</v>
      </c>
      <c r="G326" s="45"/>
    </row>
    <row r="327" spans="1:7" s="46" customFormat="1" ht="30" customHeight="1" thickBot="1">
      <c r="A327" s="77" t="s">
        <v>4</v>
      </c>
      <c r="B327" s="160" t="s">
        <v>38</v>
      </c>
      <c r="C327" s="159"/>
      <c r="D327" s="77" t="s">
        <v>12</v>
      </c>
      <c r="E327" s="247" t="s">
        <v>13</v>
      </c>
      <c r="F327" s="248"/>
      <c r="G327" s="45"/>
    </row>
    <row r="328" spans="1:7" s="51" customFormat="1" ht="27">
      <c r="A328" s="47" t="s">
        <v>118</v>
      </c>
      <c r="B328" s="48">
        <v>12</v>
      </c>
      <c r="C328" s="151" t="str">
        <f xml:space="preserve"> IF(B328="","",setValueToTime(B328))</f>
        <v>1h</v>
      </c>
      <c r="D328" s="165" t="s">
        <v>131</v>
      </c>
      <c r="E328" s="239"/>
      <c r="F328" s="240"/>
      <c r="G328" s="50"/>
    </row>
    <row r="329" spans="1:7" s="51" customFormat="1" ht="27">
      <c r="A329" s="52" t="s">
        <v>66</v>
      </c>
      <c r="B329" s="53">
        <v>12</v>
      </c>
      <c r="C329" s="152" t="str">
        <f t="shared" ref="C329:C335" si="27" xml:space="preserve"> IF(B329="","",setValueToTime(B329))</f>
        <v>1h</v>
      </c>
      <c r="D329" s="166" t="s">
        <v>132</v>
      </c>
      <c r="E329" s="241"/>
      <c r="F329" s="242"/>
      <c r="G329" s="50"/>
    </row>
    <row r="330" spans="1:7" s="51" customFormat="1">
      <c r="A330" s="52" t="s">
        <v>59</v>
      </c>
      <c r="B330" s="53">
        <v>21</v>
      </c>
      <c r="C330" s="152" t="str">
        <f t="shared" si="27"/>
        <v>1h45min</v>
      </c>
      <c r="D330" s="166" t="s">
        <v>133</v>
      </c>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27.75" thickBot="1">
      <c r="A336" s="161" t="s">
        <v>27</v>
      </c>
      <c r="B336" s="82">
        <f>SUM(B328:B335)</f>
        <v>45</v>
      </c>
      <c r="C336" s="161" t="str">
        <f xml:space="preserve"> setValueToTime(B336)</f>
        <v>3h45min</v>
      </c>
      <c r="D336" s="120"/>
      <c r="E336" s="245"/>
      <c r="F336" s="246"/>
      <c r="G336" s="50"/>
    </row>
    <row r="337" spans="1:7" s="58" customFormat="1" ht="15" thickBot="1">
      <c r="A337" s="76"/>
      <c r="B337" s="76"/>
      <c r="C337" s="76"/>
      <c r="D337" s="76"/>
      <c r="E337" s="76"/>
      <c r="F337" s="76"/>
      <c r="G337" s="57"/>
    </row>
    <row r="338" spans="1:7" s="46" customFormat="1" ht="30" customHeight="1" thickBot="1">
      <c r="A338" s="155" t="s">
        <v>11</v>
      </c>
      <c r="B338" s="163">
        <v>7</v>
      </c>
      <c r="C338" s="163"/>
      <c r="D338" s="156" t="s">
        <v>14</v>
      </c>
      <c r="E338" s="157" t="s">
        <v>125</v>
      </c>
      <c r="F338" s="158" t="s">
        <v>74</v>
      </c>
      <c r="G338" s="45"/>
    </row>
    <row r="339" spans="1:7" s="46" customFormat="1" ht="30" customHeight="1" thickBot="1">
      <c r="A339" s="77" t="s">
        <v>4</v>
      </c>
      <c r="B339" s="160" t="s">
        <v>38</v>
      </c>
      <c r="C339" s="159"/>
      <c r="D339" s="77" t="s">
        <v>12</v>
      </c>
      <c r="E339" s="247" t="s">
        <v>13</v>
      </c>
      <c r="F339" s="248"/>
      <c r="G339" s="45"/>
    </row>
    <row r="340" spans="1:7" s="51" customFormat="1">
      <c r="A340" s="47" t="s">
        <v>51</v>
      </c>
      <c r="B340" s="48">
        <v>6</v>
      </c>
      <c r="C340" s="151" t="str">
        <f xml:space="preserve"> IF(B340="","",setValueToTime(B340))</f>
        <v>0h30min</v>
      </c>
      <c r="D340" s="165" t="s">
        <v>127</v>
      </c>
      <c r="E340" s="239"/>
      <c r="F340" s="240"/>
      <c r="G340" s="50"/>
    </row>
    <row r="341" spans="1:7" s="51" customFormat="1" ht="27">
      <c r="A341" s="52" t="s">
        <v>65</v>
      </c>
      <c r="B341" s="53">
        <v>12</v>
      </c>
      <c r="C341" s="152" t="str">
        <f t="shared" ref="C341:C347" si="28" xml:space="preserve"> IF(B341="","",setValueToTime(B341))</f>
        <v>1h</v>
      </c>
      <c r="D341" s="166" t="s">
        <v>128</v>
      </c>
      <c r="E341" s="241"/>
      <c r="F341" s="242"/>
      <c r="G341" s="50"/>
    </row>
    <row r="342" spans="1:7" s="51" customFormat="1">
      <c r="A342" s="52" t="s">
        <v>56</v>
      </c>
      <c r="B342" s="53">
        <v>6</v>
      </c>
      <c r="C342" s="152" t="str">
        <f t="shared" si="28"/>
        <v>0h30min</v>
      </c>
      <c r="D342" s="166" t="s">
        <v>129</v>
      </c>
      <c r="E342" s="241"/>
      <c r="F342" s="242"/>
      <c r="G342" s="50"/>
    </row>
    <row r="343" spans="1:7" s="51" customFormat="1" ht="27">
      <c r="A343" s="52" t="s">
        <v>58</v>
      </c>
      <c r="B343" s="53">
        <v>12</v>
      </c>
      <c r="C343" s="152" t="str">
        <f t="shared" si="28"/>
        <v>1h</v>
      </c>
      <c r="D343" s="166" t="s">
        <v>130</v>
      </c>
      <c r="E343" s="241"/>
      <c r="F343" s="242"/>
      <c r="G343" s="50"/>
    </row>
    <row r="344" spans="1:7" s="51" customFormat="1">
      <c r="A344" s="53"/>
      <c r="B344" s="53"/>
      <c r="C344" s="153" t="str">
        <f t="shared" si="28"/>
        <v/>
      </c>
      <c r="D344" s="54"/>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61" t="s">
        <v>27</v>
      </c>
      <c r="B348" s="82">
        <f>SUM(B340:B347)</f>
        <v>36</v>
      </c>
      <c r="C348" s="161" t="str">
        <f xml:space="preserve"> setValueToTime(B348)</f>
        <v>3h</v>
      </c>
      <c r="D348" s="120"/>
      <c r="E348" s="245"/>
      <c r="F348" s="246"/>
      <c r="G348" s="50"/>
    </row>
    <row r="349" spans="1:7" s="58" customFormat="1" ht="15" thickBot="1">
      <c r="A349" s="76"/>
      <c r="B349" s="76"/>
      <c r="C349" s="76"/>
      <c r="D349" s="76"/>
      <c r="E349" s="76"/>
      <c r="F349" s="76"/>
      <c r="G349" s="57"/>
    </row>
    <row r="350" spans="1:7" s="46" customFormat="1" ht="30" customHeight="1" thickBot="1">
      <c r="A350" s="155" t="s">
        <v>11</v>
      </c>
      <c r="B350" s="163">
        <v>6</v>
      </c>
      <c r="C350" s="163"/>
      <c r="D350" s="156" t="s">
        <v>14</v>
      </c>
      <c r="E350" s="157" t="s">
        <v>104</v>
      </c>
      <c r="F350" s="158" t="s">
        <v>91</v>
      </c>
      <c r="G350" s="45"/>
    </row>
    <row r="351" spans="1:7" s="46" customFormat="1" ht="30" customHeight="1" thickBot="1">
      <c r="A351" s="77" t="s">
        <v>4</v>
      </c>
      <c r="B351" s="160" t="s">
        <v>38</v>
      </c>
      <c r="C351" s="159"/>
      <c r="D351" s="77" t="s">
        <v>12</v>
      </c>
      <c r="E351" s="247" t="s">
        <v>13</v>
      </c>
      <c r="F351" s="248"/>
      <c r="G351" s="45"/>
    </row>
    <row r="352" spans="1:7" s="51" customFormat="1" ht="81">
      <c r="A352" s="47" t="s">
        <v>57</v>
      </c>
      <c r="B352" s="48">
        <v>24</v>
      </c>
      <c r="C352" s="151" t="str">
        <f xml:space="preserve"> IF(B352="","",setValueToTime(B352))</f>
        <v>2h</v>
      </c>
      <c r="D352" s="165" t="s">
        <v>107</v>
      </c>
      <c r="E352" s="239"/>
      <c r="F352" s="240"/>
      <c r="G352" s="50"/>
    </row>
    <row r="353" spans="1:7" s="51" customFormat="1" ht="27">
      <c r="A353" s="52" t="s">
        <v>66</v>
      </c>
      <c r="B353" s="53">
        <v>9</v>
      </c>
      <c r="C353" s="152" t="str">
        <f t="shared" ref="C353:C359" si="29" xml:space="preserve"> IF(B353="","",setValueToTime(B353))</f>
        <v>0h45min</v>
      </c>
      <c r="D353" s="166" t="s">
        <v>108</v>
      </c>
      <c r="E353" s="241"/>
      <c r="F353" s="242"/>
      <c r="G353" s="50"/>
    </row>
    <row r="354" spans="1:7" s="51" customFormat="1">
      <c r="A354" s="52" t="s">
        <v>15</v>
      </c>
      <c r="B354" s="53">
        <v>3</v>
      </c>
      <c r="C354" s="152" t="str">
        <f t="shared" si="29"/>
        <v>0h15min</v>
      </c>
      <c r="D354" s="166" t="s">
        <v>106</v>
      </c>
      <c r="E354" s="241"/>
      <c r="F354" s="242"/>
      <c r="G354" s="50"/>
    </row>
    <row r="355" spans="1:7" s="51" customFormat="1">
      <c r="A355" s="52"/>
      <c r="B355" s="53"/>
      <c r="C355" s="152" t="str">
        <f t="shared" si="29"/>
        <v/>
      </c>
      <c r="D355" s="54"/>
      <c r="E355" s="241"/>
      <c r="F355" s="242"/>
      <c r="G355" s="50"/>
    </row>
    <row r="356" spans="1:7" s="51" customFormat="1">
      <c r="A356" s="53"/>
      <c r="B356" s="53"/>
      <c r="C356" s="153" t="str">
        <f t="shared" si="29"/>
        <v/>
      </c>
      <c r="D356" s="54"/>
      <c r="E356" s="241"/>
      <c r="F356" s="242"/>
      <c r="G356" s="50"/>
    </row>
    <row r="357" spans="1:7" s="51" customFormat="1">
      <c r="A357" s="53"/>
      <c r="B357" s="53"/>
      <c r="C357" s="153" t="str">
        <f t="shared" si="29"/>
        <v/>
      </c>
      <c r="D357" s="54"/>
      <c r="E357" s="241"/>
      <c r="F357" s="242"/>
      <c r="G357" s="50"/>
    </row>
    <row r="358" spans="1:7" s="51" customFormat="1">
      <c r="A358" s="53"/>
      <c r="B358" s="53"/>
      <c r="C358" s="153" t="str">
        <f t="shared" si="29"/>
        <v/>
      </c>
      <c r="D358" s="54"/>
      <c r="E358" s="241"/>
      <c r="F358" s="242"/>
      <c r="G358" s="50"/>
    </row>
    <row r="359" spans="1:7" s="51" customFormat="1" ht="15" thickBot="1">
      <c r="A359" s="55"/>
      <c r="B359" s="55"/>
      <c r="C359" s="154" t="str">
        <f t="shared" si="29"/>
        <v/>
      </c>
      <c r="D359" s="56"/>
      <c r="E359" s="243"/>
      <c r="F359" s="244"/>
      <c r="G359" s="50"/>
    </row>
    <row r="360" spans="1:7" s="51" customFormat="1" ht="15" thickBot="1">
      <c r="A360" s="161" t="s">
        <v>27</v>
      </c>
      <c r="B360" s="82">
        <f>SUM(B352:B359)</f>
        <v>36</v>
      </c>
      <c r="C360" s="161" t="str">
        <f xml:space="preserve"> setValueToTime(B360)</f>
        <v>3h</v>
      </c>
      <c r="D360" s="120"/>
      <c r="E360" s="245"/>
      <c r="F360" s="246"/>
      <c r="G360" s="50"/>
    </row>
    <row r="361" spans="1:7" s="58" customFormat="1" ht="15" thickBot="1">
      <c r="A361" s="76"/>
      <c r="B361" s="76"/>
      <c r="C361" s="76"/>
      <c r="D361" s="76"/>
      <c r="E361" s="76"/>
      <c r="F361" s="76"/>
      <c r="G361" s="57"/>
    </row>
    <row r="362" spans="1:7" s="46" customFormat="1" ht="30" customHeight="1" thickBot="1">
      <c r="A362" s="155" t="s">
        <v>11</v>
      </c>
      <c r="B362" s="163">
        <v>5</v>
      </c>
      <c r="C362" s="163"/>
      <c r="D362" s="156" t="s">
        <v>14</v>
      </c>
      <c r="E362" s="157" t="s">
        <v>104</v>
      </c>
      <c r="F362" s="158" t="s">
        <v>86</v>
      </c>
      <c r="G362" s="45"/>
    </row>
    <row r="363" spans="1:7" s="46" customFormat="1" ht="30" customHeight="1" thickBot="1">
      <c r="A363" s="77" t="s">
        <v>4</v>
      </c>
      <c r="B363" s="160" t="s">
        <v>38</v>
      </c>
      <c r="C363" s="159"/>
      <c r="D363" s="77" t="s">
        <v>12</v>
      </c>
      <c r="E363" s="247" t="s">
        <v>13</v>
      </c>
      <c r="F363" s="248"/>
      <c r="G363" s="45"/>
    </row>
    <row r="364" spans="1:7" s="51" customFormat="1" ht="148.5">
      <c r="A364" s="47" t="s">
        <v>58</v>
      </c>
      <c r="B364" s="48">
        <v>33</v>
      </c>
      <c r="C364" s="151" t="str">
        <f xml:space="preserve"> IF(B364="","",setValueToTime(B364))</f>
        <v>2h45min</v>
      </c>
      <c r="D364" s="165" t="s">
        <v>105</v>
      </c>
      <c r="E364" s="239"/>
      <c r="F364" s="240"/>
      <c r="G364" s="50"/>
    </row>
    <row r="365" spans="1:7" s="51" customFormat="1">
      <c r="A365" s="52" t="s">
        <v>15</v>
      </c>
      <c r="B365" s="53">
        <v>3</v>
      </c>
      <c r="C365" s="152" t="str">
        <f t="shared" ref="C365:C371" si="30" xml:space="preserve"> IF(B365="","",setValueToTime(B365))</f>
        <v>0h15min</v>
      </c>
      <c r="D365" s="166" t="s">
        <v>106</v>
      </c>
      <c r="E365" s="241"/>
      <c r="F365" s="242"/>
      <c r="G365" s="50"/>
    </row>
    <row r="366" spans="1:7" s="51" customFormat="1">
      <c r="A366" s="52"/>
      <c r="B366" s="53"/>
      <c r="C366" s="152" t="str">
        <f t="shared" si="30"/>
        <v/>
      </c>
      <c r="D366" s="54"/>
      <c r="E366" s="241"/>
      <c r="F366" s="242"/>
      <c r="G366" s="50"/>
    </row>
    <row r="367" spans="1:7" s="51" customFormat="1">
      <c r="A367" s="52"/>
      <c r="B367" s="53"/>
      <c r="C367" s="152" t="str">
        <f t="shared" si="30"/>
        <v/>
      </c>
      <c r="D367" s="54"/>
      <c r="E367" s="241"/>
      <c r="F367" s="242"/>
      <c r="G367" s="50"/>
    </row>
    <row r="368" spans="1:7" s="51" customFormat="1">
      <c r="A368" s="53"/>
      <c r="B368" s="53"/>
      <c r="C368" s="153" t="str">
        <f t="shared" si="30"/>
        <v/>
      </c>
      <c r="D368" s="54"/>
      <c r="E368" s="241"/>
      <c r="F368" s="242"/>
      <c r="G368" s="50"/>
    </row>
    <row r="369" spans="1:7" s="51" customFormat="1">
      <c r="A369" s="53"/>
      <c r="B369" s="53"/>
      <c r="C369" s="153" t="str">
        <f t="shared" si="30"/>
        <v/>
      </c>
      <c r="D369" s="54"/>
      <c r="E369" s="241"/>
      <c r="F369" s="242"/>
      <c r="G369" s="50"/>
    </row>
    <row r="370" spans="1:7" s="51" customFormat="1">
      <c r="A370" s="53"/>
      <c r="B370" s="53"/>
      <c r="C370" s="153" t="str">
        <f t="shared" si="30"/>
        <v/>
      </c>
      <c r="D370" s="54"/>
      <c r="E370" s="241"/>
      <c r="F370" s="242"/>
      <c r="G370" s="50"/>
    </row>
    <row r="371" spans="1:7" s="51" customFormat="1" ht="15" thickBot="1">
      <c r="A371" s="55"/>
      <c r="B371" s="55"/>
      <c r="C371" s="154" t="str">
        <f t="shared" si="30"/>
        <v/>
      </c>
      <c r="D371" s="56"/>
      <c r="E371" s="243"/>
      <c r="F371" s="244"/>
      <c r="G371" s="50"/>
    </row>
    <row r="372" spans="1:7" s="51" customFormat="1" ht="15" thickBot="1">
      <c r="A372" s="161" t="s">
        <v>27</v>
      </c>
      <c r="B372" s="82">
        <f>SUM(B364:B371)</f>
        <v>36</v>
      </c>
      <c r="C372" s="161" t="str">
        <f xml:space="preserve"> setValueToTime(B372)</f>
        <v>3h</v>
      </c>
      <c r="D372" s="120"/>
      <c r="E372" s="245"/>
      <c r="F372" s="246"/>
      <c r="G372" s="50"/>
    </row>
    <row r="373" spans="1:7" s="58" customFormat="1" ht="15" thickBot="1">
      <c r="A373" s="76"/>
      <c r="B373" s="76"/>
      <c r="C373" s="76"/>
      <c r="D373" s="76"/>
      <c r="E373" s="76"/>
      <c r="F373" s="76"/>
      <c r="G373" s="57"/>
    </row>
    <row r="374" spans="1:7" s="46" customFormat="1" ht="30" customHeight="1" thickBot="1">
      <c r="A374" s="155" t="s">
        <v>11</v>
      </c>
      <c r="B374" s="163">
        <v>4</v>
      </c>
      <c r="C374" s="163"/>
      <c r="D374" s="156" t="s">
        <v>14</v>
      </c>
      <c r="E374" s="157" t="s">
        <v>97</v>
      </c>
      <c r="F374" s="158" t="s">
        <v>91</v>
      </c>
      <c r="G374" s="45"/>
    </row>
    <row r="375" spans="1:7" s="46" customFormat="1" ht="30" customHeight="1" thickBot="1">
      <c r="A375" s="77" t="s">
        <v>4</v>
      </c>
      <c r="B375" s="160" t="s">
        <v>38</v>
      </c>
      <c r="C375" s="159"/>
      <c r="D375" s="77" t="s">
        <v>12</v>
      </c>
      <c r="E375" s="247" t="s">
        <v>13</v>
      </c>
      <c r="F375" s="248"/>
      <c r="G375" s="45"/>
    </row>
    <row r="376" spans="1:7" s="51" customFormat="1" ht="81">
      <c r="A376" s="47" t="s">
        <v>58</v>
      </c>
      <c r="B376" s="48">
        <v>33</v>
      </c>
      <c r="C376" s="151" t="str">
        <f xml:space="preserve"> IF(B376="","",setValueToTime(B376))</f>
        <v>2h45min</v>
      </c>
      <c r="D376" s="165" t="s">
        <v>102</v>
      </c>
      <c r="E376" s="239"/>
      <c r="F376" s="240"/>
      <c r="G376" s="50"/>
    </row>
    <row r="377" spans="1:7" s="51" customFormat="1">
      <c r="A377" s="52" t="s">
        <v>15</v>
      </c>
      <c r="B377" s="53">
        <v>3</v>
      </c>
      <c r="C377" s="152" t="str">
        <f t="shared" ref="C377:C383" si="31" xml:space="preserve"> IF(B377="","",setValueToTime(B377))</f>
        <v>0h15min</v>
      </c>
      <c r="D377" s="166" t="s">
        <v>103</v>
      </c>
      <c r="E377" s="241"/>
      <c r="F377" s="242"/>
      <c r="G377" s="50"/>
    </row>
    <row r="378" spans="1:7" s="51" customFormat="1">
      <c r="A378" s="52"/>
      <c r="B378" s="53"/>
      <c r="C378" s="152" t="str">
        <f t="shared" si="31"/>
        <v/>
      </c>
      <c r="D378" s="54"/>
      <c r="E378" s="241"/>
      <c r="F378" s="242"/>
      <c r="G378" s="50"/>
    </row>
    <row r="379" spans="1:7" s="51" customFormat="1">
      <c r="A379" s="52"/>
      <c r="B379" s="53"/>
      <c r="C379" s="152" t="str">
        <f t="shared" si="31"/>
        <v/>
      </c>
      <c r="D379" s="54"/>
      <c r="E379" s="241"/>
      <c r="F379" s="242"/>
      <c r="G379" s="50"/>
    </row>
    <row r="380" spans="1:7" s="51" customFormat="1">
      <c r="A380" s="53"/>
      <c r="B380" s="53"/>
      <c r="C380" s="153" t="str">
        <f t="shared" si="31"/>
        <v/>
      </c>
      <c r="D380" s="54"/>
      <c r="E380" s="241"/>
      <c r="F380" s="242"/>
      <c r="G380" s="50"/>
    </row>
    <row r="381" spans="1:7" s="51" customFormat="1">
      <c r="A381" s="53"/>
      <c r="B381" s="53"/>
      <c r="C381" s="153" t="str">
        <f t="shared" si="31"/>
        <v/>
      </c>
      <c r="D381" s="54"/>
      <c r="E381" s="241"/>
      <c r="F381" s="242"/>
      <c r="G381" s="50"/>
    </row>
    <row r="382" spans="1:7" s="51" customFormat="1">
      <c r="A382" s="53"/>
      <c r="B382" s="53"/>
      <c r="C382" s="153" t="str">
        <f t="shared" si="31"/>
        <v/>
      </c>
      <c r="D382" s="54"/>
      <c r="E382" s="241"/>
      <c r="F382" s="242"/>
      <c r="G382" s="50"/>
    </row>
    <row r="383" spans="1:7" s="51" customFormat="1" ht="15" thickBot="1">
      <c r="A383" s="55"/>
      <c r="B383" s="55"/>
      <c r="C383" s="154" t="str">
        <f t="shared" si="31"/>
        <v/>
      </c>
      <c r="D383" s="56"/>
      <c r="E383" s="243"/>
      <c r="F383" s="244"/>
      <c r="G383" s="50"/>
    </row>
    <row r="384" spans="1:7" s="51" customFormat="1" ht="15" thickBot="1">
      <c r="A384" s="161" t="s">
        <v>27</v>
      </c>
      <c r="B384" s="82">
        <f>SUM(B376:B383)</f>
        <v>36</v>
      </c>
      <c r="C384" s="161" t="str">
        <f xml:space="preserve"> setValueToTime(B384)</f>
        <v>3h</v>
      </c>
      <c r="D384" s="120"/>
      <c r="E384" s="245"/>
      <c r="F384" s="246"/>
      <c r="G384" s="50"/>
    </row>
    <row r="385" spans="1:7" s="58" customFormat="1" ht="15" thickBot="1">
      <c r="A385" s="76"/>
      <c r="B385" s="76"/>
      <c r="C385" s="76"/>
      <c r="D385" s="76"/>
      <c r="E385" s="76"/>
      <c r="F385" s="76"/>
      <c r="G385" s="57"/>
    </row>
    <row r="386" spans="1:7" s="46" customFormat="1" ht="30" customHeight="1" thickBot="1">
      <c r="A386" s="155" t="s">
        <v>11</v>
      </c>
      <c r="B386" s="163">
        <v>3</v>
      </c>
      <c r="C386" s="163"/>
      <c r="D386" s="156" t="s">
        <v>14</v>
      </c>
      <c r="E386" s="157" t="s">
        <v>97</v>
      </c>
      <c r="F386" s="158" t="s">
        <v>86</v>
      </c>
      <c r="G386" s="45"/>
    </row>
    <row r="387" spans="1:7" s="46" customFormat="1" ht="30" customHeight="1" thickBot="1">
      <c r="A387" s="77" t="s">
        <v>4</v>
      </c>
      <c r="B387" s="160" t="s">
        <v>38</v>
      </c>
      <c r="C387" s="159"/>
      <c r="D387" s="77" t="s">
        <v>12</v>
      </c>
      <c r="E387" s="247" t="s">
        <v>13</v>
      </c>
      <c r="F387" s="248"/>
      <c r="G387" s="45"/>
    </row>
    <row r="388" spans="1:7" s="51" customFormat="1">
      <c r="A388" s="47" t="s">
        <v>56</v>
      </c>
      <c r="B388" s="48">
        <v>3</v>
      </c>
      <c r="C388" s="151" t="str">
        <f xml:space="preserve"> IF(B388="","",setValueToTime(B388))</f>
        <v>0h15min</v>
      </c>
      <c r="D388" s="165" t="s">
        <v>98</v>
      </c>
      <c r="E388" s="239"/>
      <c r="F388" s="240"/>
      <c r="G388" s="50"/>
    </row>
    <row r="389" spans="1:7" s="51" customFormat="1">
      <c r="A389" s="52" t="s">
        <v>50</v>
      </c>
      <c r="B389" s="53">
        <v>15</v>
      </c>
      <c r="C389" s="152" t="str">
        <f t="shared" ref="C389:C395" si="32" xml:space="preserve"> IF(B389="","",setValueToTime(B389))</f>
        <v>1h15min</v>
      </c>
      <c r="D389" s="166" t="s">
        <v>99</v>
      </c>
      <c r="E389" s="241"/>
      <c r="F389" s="242"/>
      <c r="G389" s="50"/>
    </row>
    <row r="390" spans="1:7" s="51" customFormat="1" ht="27">
      <c r="A390" s="52" t="s">
        <v>52</v>
      </c>
      <c r="B390" s="53">
        <v>6</v>
      </c>
      <c r="C390" s="152" t="str">
        <f t="shared" si="32"/>
        <v>0h30min</v>
      </c>
      <c r="D390" s="166" t="s">
        <v>100</v>
      </c>
      <c r="E390" s="241"/>
      <c r="F390" s="242"/>
      <c r="G390" s="50"/>
    </row>
    <row r="391" spans="1:7" s="51" customFormat="1" ht="67.5">
      <c r="A391" s="52" t="s">
        <v>58</v>
      </c>
      <c r="B391" s="53">
        <v>12</v>
      </c>
      <c r="C391" s="152" t="str">
        <f t="shared" si="32"/>
        <v>1h</v>
      </c>
      <c r="D391" s="166" t="s">
        <v>101</v>
      </c>
      <c r="E391" s="241"/>
      <c r="F391" s="242"/>
      <c r="G391" s="50"/>
    </row>
    <row r="392" spans="1:7" s="51" customFormat="1">
      <c r="A392" s="53"/>
      <c r="B392" s="53"/>
      <c r="C392" s="153" t="str">
        <f t="shared" si="32"/>
        <v/>
      </c>
      <c r="D392" s="54"/>
      <c r="E392" s="241"/>
      <c r="F392" s="242"/>
      <c r="G392" s="50"/>
    </row>
    <row r="393" spans="1:7" s="51" customFormat="1">
      <c r="A393" s="53"/>
      <c r="B393" s="53"/>
      <c r="C393" s="153" t="str">
        <f t="shared" si="32"/>
        <v/>
      </c>
      <c r="D393" s="54"/>
      <c r="E393" s="241"/>
      <c r="F393" s="242"/>
      <c r="G393" s="50"/>
    </row>
    <row r="394" spans="1:7" s="51" customFormat="1">
      <c r="A394" s="53"/>
      <c r="B394" s="53"/>
      <c r="C394" s="153" t="str">
        <f t="shared" si="32"/>
        <v/>
      </c>
      <c r="D394" s="54"/>
      <c r="E394" s="241"/>
      <c r="F394" s="242"/>
      <c r="G394" s="50"/>
    </row>
    <row r="395" spans="1:7" s="51" customFormat="1" ht="15" thickBot="1">
      <c r="A395" s="55"/>
      <c r="B395" s="55"/>
      <c r="C395" s="154" t="str">
        <f t="shared" si="32"/>
        <v/>
      </c>
      <c r="D395" s="56"/>
      <c r="E395" s="243"/>
      <c r="F395" s="244"/>
      <c r="G395" s="50"/>
    </row>
    <row r="396" spans="1:7" s="51" customFormat="1" ht="15" thickBot="1">
      <c r="A396" s="161" t="s">
        <v>27</v>
      </c>
      <c r="B396" s="82">
        <f>SUM(B388:B395)</f>
        <v>36</v>
      </c>
      <c r="C396" s="161" t="str">
        <f xml:space="preserve"> setValueToTime(B396)</f>
        <v>3h</v>
      </c>
      <c r="D396" s="120"/>
      <c r="E396" s="245"/>
      <c r="F396" s="246"/>
      <c r="G396" s="50"/>
    </row>
    <row r="397" spans="1:7" s="58" customFormat="1" ht="15" thickBot="1">
      <c r="A397" s="76"/>
      <c r="B397" s="76"/>
      <c r="C397" s="76"/>
      <c r="D397" s="76"/>
      <c r="E397" s="76"/>
      <c r="F397" s="76"/>
      <c r="G397" s="57"/>
    </row>
    <row r="398" spans="1:7" s="46" customFormat="1" ht="30" customHeight="1" thickBot="1">
      <c r="A398" s="155" t="s">
        <v>11</v>
      </c>
      <c r="B398" s="163">
        <v>2</v>
      </c>
      <c r="C398" s="163"/>
      <c r="D398" s="156" t="s">
        <v>14</v>
      </c>
      <c r="E398" s="157" t="s">
        <v>71</v>
      </c>
      <c r="F398" s="158" t="s">
        <v>75</v>
      </c>
      <c r="G398" s="45"/>
    </row>
    <row r="399" spans="1:7" s="46" customFormat="1" ht="30" customHeight="1" thickBot="1">
      <c r="A399" s="77" t="s">
        <v>4</v>
      </c>
      <c r="B399" s="160" t="s">
        <v>38</v>
      </c>
      <c r="C399" s="159"/>
      <c r="D399" s="77" t="s">
        <v>12</v>
      </c>
      <c r="E399" s="247" t="s">
        <v>13</v>
      </c>
      <c r="F399" s="248"/>
      <c r="G399" s="45"/>
    </row>
    <row r="400" spans="1:7" s="51" customFormat="1" ht="67.5">
      <c r="A400" s="47" t="s">
        <v>58</v>
      </c>
      <c r="B400" s="48">
        <v>33</v>
      </c>
      <c r="C400" s="151" t="str">
        <f xml:space="preserve"> IF(B400="","",setValueToTime(B400))</f>
        <v>2h45min</v>
      </c>
      <c r="D400" s="165" t="s">
        <v>84</v>
      </c>
      <c r="E400" s="239"/>
      <c r="F400" s="240"/>
      <c r="G400" s="50"/>
    </row>
    <row r="401" spans="1:7" s="51" customFormat="1">
      <c r="A401" s="52" t="s">
        <v>15</v>
      </c>
      <c r="B401" s="53">
        <v>3</v>
      </c>
      <c r="C401" s="152" t="str">
        <f t="shared" ref="C401:C407" si="33" xml:space="preserve"> IF(B401="","",setValueToTime(B401))</f>
        <v>0h15min</v>
      </c>
      <c r="D401" s="166" t="s">
        <v>85</v>
      </c>
      <c r="E401" s="241"/>
      <c r="F401" s="242"/>
      <c r="G401" s="50"/>
    </row>
    <row r="402" spans="1:7" s="51" customFormat="1">
      <c r="A402" s="52"/>
      <c r="B402" s="53"/>
      <c r="C402" s="152" t="str">
        <f t="shared" si="33"/>
        <v/>
      </c>
      <c r="D402" s="54"/>
      <c r="E402" s="241"/>
      <c r="F402" s="242"/>
      <c r="G402" s="50"/>
    </row>
    <row r="403" spans="1:7" s="51" customFormat="1">
      <c r="A403" s="52"/>
      <c r="B403" s="53"/>
      <c r="C403" s="152" t="str">
        <f t="shared" si="33"/>
        <v/>
      </c>
      <c r="D403" s="54"/>
      <c r="E403" s="241"/>
      <c r="F403" s="242"/>
      <c r="G403" s="50"/>
    </row>
    <row r="404" spans="1:7" s="51" customFormat="1">
      <c r="A404" s="53"/>
      <c r="B404" s="53"/>
      <c r="C404" s="153" t="str">
        <f t="shared" si="33"/>
        <v/>
      </c>
      <c r="D404" s="54"/>
      <c r="E404" s="241"/>
      <c r="F404" s="242"/>
      <c r="G404" s="50"/>
    </row>
    <row r="405" spans="1:7" s="51" customFormat="1">
      <c r="A405" s="53"/>
      <c r="B405" s="53"/>
      <c r="C405" s="153" t="str">
        <f t="shared" si="33"/>
        <v/>
      </c>
      <c r="D405" s="54"/>
      <c r="E405" s="241"/>
      <c r="F405" s="242"/>
      <c r="G405" s="50"/>
    </row>
    <row r="406" spans="1:7" s="51" customFormat="1">
      <c r="A406" s="53"/>
      <c r="B406" s="53"/>
      <c r="C406" s="153" t="str">
        <f t="shared" si="33"/>
        <v/>
      </c>
      <c r="D406" s="54"/>
      <c r="E406" s="241"/>
      <c r="F406" s="242"/>
      <c r="G406" s="50"/>
    </row>
    <row r="407" spans="1:7" s="51" customFormat="1" ht="15" thickBot="1">
      <c r="A407" s="55"/>
      <c r="B407" s="55"/>
      <c r="C407" s="154" t="str">
        <f t="shared" si="33"/>
        <v/>
      </c>
      <c r="D407" s="56"/>
      <c r="E407" s="243"/>
      <c r="F407" s="244"/>
      <c r="G407" s="50"/>
    </row>
    <row r="408" spans="1:7" s="51" customFormat="1" ht="15" thickBot="1">
      <c r="A408" s="161" t="s">
        <v>27</v>
      </c>
      <c r="B408" s="82">
        <f>SUM(B400:B407)</f>
        <v>36</v>
      </c>
      <c r="C408" s="161" t="str">
        <f xml:space="preserve"> setValueToTime(B408)</f>
        <v>3h</v>
      </c>
      <c r="D408" s="120"/>
      <c r="E408" s="245"/>
      <c r="F408" s="246"/>
      <c r="G408" s="50"/>
    </row>
    <row r="409" spans="1:7" s="58" customFormat="1" ht="15" thickBot="1">
      <c r="A409" s="76"/>
      <c r="B409" s="76"/>
      <c r="C409" s="76"/>
      <c r="D409" s="76"/>
      <c r="E409" s="76"/>
      <c r="F409" s="76"/>
      <c r="G409" s="57"/>
    </row>
    <row r="410" spans="1:7" s="46" customFormat="1" ht="30" customHeight="1" thickBot="1">
      <c r="A410" s="155" t="s">
        <v>11</v>
      </c>
      <c r="B410" s="163">
        <v>1</v>
      </c>
      <c r="C410" s="163"/>
      <c r="D410" s="156" t="s">
        <v>14</v>
      </c>
      <c r="E410" s="157" t="s">
        <v>71</v>
      </c>
      <c r="F410" s="158" t="s">
        <v>74</v>
      </c>
      <c r="G410" s="45"/>
    </row>
    <row r="411" spans="1:7" s="46" customFormat="1" ht="30" customHeight="1" thickBot="1">
      <c r="A411" s="77" t="s">
        <v>4</v>
      </c>
      <c r="B411" s="160" t="s">
        <v>38</v>
      </c>
      <c r="C411" s="159"/>
      <c r="D411" s="77" t="s">
        <v>12</v>
      </c>
      <c r="E411" s="247" t="s">
        <v>13</v>
      </c>
      <c r="F411" s="248"/>
      <c r="G411" s="45"/>
    </row>
    <row r="412" spans="1:7" s="51" customFormat="1">
      <c r="A412" s="47" t="s">
        <v>51</v>
      </c>
      <c r="B412" s="48">
        <v>12</v>
      </c>
      <c r="C412" s="151" t="str">
        <f xml:space="preserve"> IF(B412="","",setValueToTime(B412))</f>
        <v>1h</v>
      </c>
      <c r="D412" s="165" t="s">
        <v>79</v>
      </c>
      <c r="E412" s="239"/>
      <c r="F412" s="240"/>
      <c r="G412" s="50"/>
    </row>
    <row r="413" spans="1:7" s="51" customFormat="1">
      <c r="A413" s="52" t="s">
        <v>56</v>
      </c>
      <c r="B413" s="53">
        <v>9</v>
      </c>
      <c r="C413" s="152" t="str">
        <f t="shared" ref="C413:C419" si="34" xml:space="preserve"> IF(B413="","",setValueToTime(B413))</f>
        <v>0h45min</v>
      </c>
      <c r="D413" s="166" t="s">
        <v>69</v>
      </c>
      <c r="E413" s="241"/>
      <c r="F413" s="242"/>
      <c r="G413" s="50"/>
    </row>
    <row r="414" spans="1:7" s="51" customFormat="1" ht="27">
      <c r="A414" s="52" t="s">
        <v>64</v>
      </c>
      <c r="B414" s="53">
        <v>9</v>
      </c>
      <c r="C414" s="152" t="str">
        <f t="shared" si="34"/>
        <v>0h45min</v>
      </c>
      <c r="D414" s="166" t="s">
        <v>81</v>
      </c>
      <c r="E414" s="249" t="s">
        <v>80</v>
      </c>
      <c r="F414" s="242"/>
      <c r="G414" s="50"/>
    </row>
    <row r="415" spans="1:7" s="51" customFormat="1" ht="27">
      <c r="A415" s="52" t="s">
        <v>65</v>
      </c>
      <c r="B415" s="53">
        <v>3</v>
      </c>
      <c r="C415" s="152" t="str">
        <f t="shared" si="34"/>
        <v>0h15min</v>
      </c>
      <c r="D415" s="166" t="s">
        <v>82</v>
      </c>
      <c r="E415" s="241"/>
      <c r="F415" s="242"/>
      <c r="G415" s="50"/>
    </row>
    <row r="416" spans="1:7" s="51" customFormat="1" ht="40.5">
      <c r="A416" s="53" t="s">
        <v>58</v>
      </c>
      <c r="B416" s="53">
        <v>18</v>
      </c>
      <c r="C416" s="153" t="str">
        <f t="shared" si="34"/>
        <v>1h30min</v>
      </c>
      <c r="D416" s="166" t="s">
        <v>83</v>
      </c>
      <c r="E416" s="241"/>
      <c r="F416" s="242"/>
      <c r="G416" s="50"/>
    </row>
    <row r="417" spans="1:7" s="51" customFormat="1">
      <c r="A417" s="53"/>
      <c r="B417" s="53"/>
      <c r="C417" s="153" t="str">
        <f t="shared" si="34"/>
        <v/>
      </c>
      <c r="D417" s="54"/>
      <c r="E417" s="241"/>
      <c r="F417" s="242"/>
      <c r="G417" s="50"/>
    </row>
    <row r="418" spans="1:7" s="51" customFormat="1">
      <c r="A418" s="53"/>
      <c r="B418" s="53"/>
      <c r="C418" s="153" t="str">
        <f t="shared" si="34"/>
        <v/>
      </c>
      <c r="D418" s="54"/>
      <c r="E418" s="241"/>
      <c r="F418" s="242"/>
      <c r="G418" s="50"/>
    </row>
    <row r="419" spans="1:7" s="51" customFormat="1" ht="15" thickBot="1">
      <c r="A419" s="55"/>
      <c r="B419" s="55"/>
      <c r="C419" s="154" t="str">
        <f t="shared" si="34"/>
        <v/>
      </c>
      <c r="D419" s="56"/>
      <c r="E419" s="243"/>
      <c r="F419" s="244"/>
      <c r="G419" s="50"/>
    </row>
    <row r="420" spans="1:7" s="51" customFormat="1" ht="27.75" thickBot="1">
      <c r="A420" s="161" t="s">
        <v>27</v>
      </c>
      <c r="B420" s="82">
        <f>SUM(B412:B419)</f>
        <v>51</v>
      </c>
      <c r="C420" s="161" t="str">
        <f xml:space="preserve"> setValueToTime(B420)</f>
        <v>4h15min</v>
      </c>
      <c r="D420" s="120"/>
      <c r="E420" s="245"/>
      <c r="F420" s="246"/>
      <c r="G420" s="50"/>
    </row>
    <row r="421" spans="1:7" s="58" customFormat="1">
      <c r="A421" s="76"/>
      <c r="B421" s="76"/>
      <c r="C421" s="76"/>
      <c r="D421" s="76"/>
      <c r="E421" s="76"/>
      <c r="F421" s="76"/>
      <c r="G421" s="57"/>
    </row>
  </sheetData>
  <sheetProtection formatRows="0" insertRows="0" insertHyperlinks="0" deleteRows="0" selectLockedCells="1"/>
  <mergeCells count="35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63:F63"/>
    <mergeCell ref="E64:F64"/>
    <mergeCell ref="E65:F65"/>
    <mergeCell ref="E66:F66"/>
    <mergeCell ref="E67:F67"/>
    <mergeCell ref="E68:F68"/>
    <mergeCell ref="E69:F69"/>
    <mergeCell ref="E70:F70"/>
    <mergeCell ref="E71:F71"/>
    <mergeCell ref="E96:F96"/>
    <mergeCell ref="E87:F87"/>
    <mergeCell ref="E88:F88"/>
    <mergeCell ref="E89:F89"/>
    <mergeCell ref="E90:F90"/>
    <mergeCell ref="E91:F91"/>
    <mergeCell ref="E92:F92"/>
    <mergeCell ref="E93:F93"/>
    <mergeCell ref="E94:F94"/>
    <mergeCell ref="E95:F9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312:F312"/>
    <mergeCell ref="E279:F279"/>
    <mergeCell ref="E280:F280"/>
    <mergeCell ref="E281:F281"/>
    <mergeCell ref="E282:F282"/>
    <mergeCell ref="E283:F283"/>
    <mergeCell ref="E284:F284"/>
    <mergeCell ref="E285:F285"/>
    <mergeCell ref="E286:F286"/>
    <mergeCell ref="E287:F287"/>
    <mergeCell ref="E288:F288"/>
    <mergeCell ref="E303:F303"/>
    <mergeCell ref="E304:F304"/>
    <mergeCell ref="E305:F305"/>
    <mergeCell ref="E306:F306"/>
    <mergeCell ref="E307:F307"/>
    <mergeCell ref="E308:F308"/>
    <mergeCell ref="E309:F309"/>
    <mergeCell ref="E310:F310"/>
    <mergeCell ref="E311:F311"/>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51:F351"/>
    <mergeCell ref="E352:F352"/>
    <mergeCell ref="E353:F353"/>
    <mergeCell ref="E354:F354"/>
    <mergeCell ref="E355:F355"/>
    <mergeCell ref="E356:F356"/>
    <mergeCell ref="E357:F357"/>
    <mergeCell ref="E358:F358"/>
    <mergeCell ref="E359:F359"/>
    <mergeCell ref="E340:F340"/>
    <mergeCell ref="E341:F341"/>
    <mergeCell ref="E342:F342"/>
    <mergeCell ref="E343:F343"/>
    <mergeCell ref="E344:F344"/>
    <mergeCell ref="E345:F345"/>
    <mergeCell ref="E346:F346"/>
    <mergeCell ref="E347:F347"/>
    <mergeCell ref="E348:F348"/>
    <mergeCell ref="E388:F388"/>
    <mergeCell ref="E420:F420"/>
    <mergeCell ref="E399:F399"/>
    <mergeCell ref="E400:F400"/>
    <mergeCell ref="E401:F401"/>
    <mergeCell ref="E402:F402"/>
    <mergeCell ref="E403:F403"/>
    <mergeCell ref="E404:F404"/>
    <mergeCell ref="E411:F411"/>
    <mergeCell ref="E412:F412"/>
    <mergeCell ref="E413:F413"/>
    <mergeCell ref="E414:F414"/>
    <mergeCell ref="E415:F415"/>
    <mergeCell ref="E416:F416"/>
    <mergeCell ref="E408:F408"/>
    <mergeCell ref="E417:F417"/>
    <mergeCell ref="E419:F419"/>
    <mergeCell ref="E405:F405"/>
    <mergeCell ref="E406:F406"/>
    <mergeCell ref="E407:F407"/>
    <mergeCell ref="E392:F392"/>
    <mergeCell ref="E393:F393"/>
    <mergeCell ref="E394:F394"/>
    <mergeCell ref="E395:F395"/>
    <mergeCell ref="E396:F396"/>
    <mergeCell ref="E418:F418"/>
    <mergeCell ref="E389:F389"/>
    <mergeCell ref="E390:F390"/>
    <mergeCell ref="E391:F391"/>
    <mergeCell ref="E291:F291"/>
    <mergeCell ref="E292:F292"/>
    <mergeCell ref="E293:F293"/>
    <mergeCell ref="E294:F294"/>
    <mergeCell ref="E295:F295"/>
    <mergeCell ref="E296:F296"/>
    <mergeCell ref="E297:F297"/>
    <mergeCell ref="E298:F298"/>
    <mergeCell ref="E299:F299"/>
    <mergeCell ref="E300:F300"/>
    <mergeCell ref="E375:F375"/>
    <mergeCell ref="E376:F376"/>
    <mergeCell ref="E377:F377"/>
    <mergeCell ref="E378:F378"/>
    <mergeCell ref="E379:F379"/>
    <mergeCell ref="E380:F380"/>
    <mergeCell ref="E381:F381"/>
    <mergeCell ref="E382:F382"/>
    <mergeCell ref="E383:F383"/>
    <mergeCell ref="E384:F384"/>
    <mergeCell ref="E387:F387"/>
    <mergeCell ref="E267:F267"/>
    <mergeCell ref="E268:F268"/>
    <mergeCell ref="E269:F269"/>
    <mergeCell ref="E270:F270"/>
    <mergeCell ref="E271:F271"/>
    <mergeCell ref="E272:F272"/>
    <mergeCell ref="E273:F273"/>
    <mergeCell ref="E274:F274"/>
    <mergeCell ref="E275:F275"/>
    <mergeCell ref="E276:F276"/>
    <mergeCell ref="E371:F371"/>
    <mergeCell ref="E372:F372"/>
    <mergeCell ref="E363:F363"/>
    <mergeCell ref="E364:F364"/>
    <mergeCell ref="E365:F365"/>
    <mergeCell ref="E366:F366"/>
    <mergeCell ref="E367:F367"/>
    <mergeCell ref="E368:F368"/>
    <mergeCell ref="E369:F369"/>
    <mergeCell ref="E370:F370"/>
    <mergeCell ref="E360:F360"/>
    <mergeCell ref="E339:F339"/>
    <mergeCell ref="E240:F240"/>
    <mergeCell ref="E231:F231"/>
    <mergeCell ref="E232:F232"/>
    <mergeCell ref="E233:F233"/>
    <mergeCell ref="E234:F234"/>
    <mergeCell ref="E235:F235"/>
    <mergeCell ref="E236:F236"/>
    <mergeCell ref="E237:F237"/>
    <mergeCell ref="E238:F238"/>
    <mergeCell ref="E239:F239"/>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180:F180"/>
    <mergeCell ref="E171:F171"/>
    <mergeCell ref="E172:F172"/>
    <mergeCell ref="E173:F173"/>
    <mergeCell ref="E174:F174"/>
    <mergeCell ref="E175:F175"/>
    <mergeCell ref="E176:F176"/>
    <mergeCell ref="E177:F177"/>
    <mergeCell ref="E178:F178"/>
    <mergeCell ref="E179:F179"/>
    <mergeCell ref="E144:F144"/>
    <mergeCell ref="E135:F135"/>
    <mergeCell ref="E136:F136"/>
    <mergeCell ref="E137:F137"/>
    <mergeCell ref="E138:F138"/>
    <mergeCell ref="E139:F139"/>
    <mergeCell ref="E140:F140"/>
    <mergeCell ref="E141:F141"/>
    <mergeCell ref="E142:F142"/>
    <mergeCell ref="E143:F143"/>
    <mergeCell ref="E108:F108"/>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60:F60"/>
    <mergeCell ref="E51:F51"/>
    <mergeCell ref="E52:F52"/>
    <mergeCell ref="E53:F53"/>
    <mergeCell ref="E54:F54"/>
    <mergeCell ref="E55:F55"/>
    <mergeCell ref="E56:F56"/>
    <mergeCell ref="E57:F57"/>
    <mergeCell ref="E58:F58"/>
    <mergeCell ref="E59:F59"/>
  </mergeCells>
  <phoneticPr fontId="0" type="noConversion"/>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20 B408 B396 B384 B372 B360 B348 B336 B324 B312 B300 B288 B276 B264 B252 B240 B228 B216 B204 B192 B180 B168 B156 B144 B132 B120 B108 B96 B84 B72 B60 B48 B36 B24 B12">
      <formula1>0</formula1>
      <formula2>60</formula2>
    </dataValidation>
    <dataValidation type="list" allowBlank="1" showInputMessage="1" showErrorMessage="1" sqref="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41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2021-03-10T11:02:50Z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