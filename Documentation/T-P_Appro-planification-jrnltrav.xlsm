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6" i="12"/>
  <c r="C17" i="12"/>
  <c r="C24" i="12"/>
  <c r="B36" i="12" l="1"/>
  <c r="C35" i="12"/>
  <c r="C34" i="12"/>
  <c r="C33" i="12"/>
  <c r="C32" i="12"/>
  <c r="C31" i="12"/>
  <c r="C30" i="12"/>
  <c r="B48" i="12"/>
  <c r="C47" i="12"/>
  <c r="C46" i="12"/>
  <c r="C45" i="12"/>
  <c r="C44" i="12"/>
  <c r="C43" i="12"/>
  <c r="B60" i="12"/>
  <c r="C59" i="12"/>
  <c r="C58" i="12"/>
  <c r="C57" i="12"/>
  <c r="C56" i="12"/>
  <c r="C41" i="12"/>
  <c r="C48" i="12"/>
  <c r="C36" i="12"/>
  <c r="C60" i="12"/>
  <c r="C29" i="12"/>
  <c r="C53" i="12"/>
  <c r="C40" i="12"/>
  <c r="C54" i="12"/>
  <c r="C55" i="12"/>
  <c r="C42" i="12"/>
  <c r="C52" i="12"/>
  <c r="C28"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53" i="10"/>
  <c r="C24" i="10"/>
  <c r="C76" i="10"/>
  <c r="C36" i="10"/>
  <c r="C5" i="10"/>
  <c r="C28" i="10"/>
  <c r="C30" i="10"/>
  <c r="C16" i="10"/>
  <c r="C12" i="10"/>
  <c r="C40" i="10"/>
  <c r="C77" i="10"/>
  <c r="C60" i="10"/>
  <c r="C52" i="10"/>
  <c r="C84" i="10"/>
  <c r="C72" i="10"/>
  <c r="C29" i="10"/>
  <c r="C4" i="10"/>
  <c r="C54" i="10"/>
  <c r="C48" i="10"/>
  <c r="B72" i="12" l="1"/>
  <c r="C71" i="12"/>
  <c r="C70" i="12"/>
  <c r="C69" i="12"/>
  <c r="C68" i="12"/>
  <c r="C67" i="12"/>
  <c r="B84" i="12"/>
  <c r="C83" i="12"/>
  <c r="C82" i="12"/>
  <c r="C81" i="12"/>
  <c r="C80" i="12"/>
  <c r="C79" i="12"/>
  <c r="C78" i="12"/>
  <c r="C66" i="12"/>
  <c r="C76" i="12"/>
  <c r="C72" i="12"/>
  <c r="C84" i="12"/>
  <c r="C64" i="12"/>
  <c r="C77" i="12"/>
  <c r="C65" i="12"/>
  <c r="B96" i="12" l="1"/>
  <c r="C95" i="12"/>
  <c r="C94" i="12"/>
  <c r="C93" i="12"/>
  <c r="C92" i="12"/>
  <c r="C91" i="12"/>
  <c r="C90" i="12"/>
  <c r="C88" i="12"/>
  <c r="C89" i="12"/>
  <c r="C96" i="12"/>
  <c r="B108" i="12" l="1"/>
  <c r="C107" i="12"/>
  <c r="C106" i="12"/>
  <c r="C105" i="12"/>
  <c r="C104" i="12"/>
  <c r="C101" i="12"/>
  <c r="C108" i="12"/>
  <c r="C103" i="12"/>
  <c r="C102" i="12"/>
  <c r="C100"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89" i="10"/>
  <c r="C120" i="10"/>
  <c r="C96" i="10"/>
  <c r="C108" i="10"/>
  <c r="C132" i="10"/>
  <c r="C113" i="10"/>
  <c r="C112" i="10"/>
  <c r="C88" i="10"/>
  <c r="C124" i="10"/>
  <c r="C125" i="10"/>
  <c r="C114" i="10"/>
  <c r="C126" i="10"/>
  <c r="C100" i="10"/>
  <c r="B120" i="12" l="1"/>
  <c r="C119" i="12"/>
  <c r="C118" i="12"/>
  <c r="C117" i="12"/>
  <c r="C116" i="12"/>
  <c r="C115" i="12"/>
  <c r="C114" i="12"/>
  <c r="B132" i="12"/>
  <c r="C131" i="12"/>
  <c r="C130" i="12"/>
  <c r="C129" i="12"/>
  <c r="B144" i="10"/>
  <c r="C143" i="10"/>
  <c r="C142" i="10"/>
  <c r="C141" i="10"/>
  <c r="C140" i="10"/>
  <c r="C139" i="10"/>
  <c r="C138" i="10"/>
  <c r="B156" i="10"/>
  <c r="C155" i="10"/>
  <c r="C154" i="10"/>
  <c r="C153" i="10"/>
  <c r="C152" i="10"/>
  <c r="C112" i="12"/>
  <c r="C148" i="10"/>
  <c r="C113" i="12"/>
  <c r="C128" i="12"/>
  <c r="C125" i="12"/>
  <c r="C156" i="10"/>
  <c r="C126" i="12"/>
  <c r="C149" i="10"/>
  <c r="C120" i="12"/>
  <c r="C132" i="12"/>
  <c r="C150" i="10"/>
  <c r="C151" i="10"/>
  <c r="C124" i="12"/>
  <c r="C144" i="10"/>
  <c r="C127" i="12"/>
  <c r="C10" i="15" l="1"/>
  <c r="C9" i="15"/>
  <c r="C8" i="15"/>
  <c r="C7" i="15"/>
  <c r="C6" i="15"/>
  <c r="C5" i="15"/>
  <c r="C4" i="15"/>
  <c r="C3" i="15"/>
  <c r="B11" i="15"/>
  <c r="C10" i="16"/>
  <c r="C9" i="16"/>
  <c r="C8" i="16"/>
  <c r="C7" i="16"/>
  <c r="C6" i="16"/>
  <c r="C5" i="16"/>
  <c r="C4" i="16"/>
  <c r="C3" i="16"/>
  <c r="B11" i="16"/>
  <c r="D69" i="1"/>
  <c r="D66" i="1"/>
  <c r="D76" i="1"/>
  <c r="D36" i="1"/>
  <c r="D15" i="1"/>
  <c r="D25" i="1"/>
  <c r="D24" i="1"/>
  <c r="D38" i="1"/>
  <c r="D58" i="1"/>
  <c r="D85" i="1"/>
  <c r="D77" i="1"/>
  <c r="D53" i="1"/>
  <c r="D83" i="1"/>
  <c r="D64" i="1"/>
  <c r="D70" i="1"/>
  <c r="D35" i="1"/>
  <c r="D34" i="1"/>
  <c r="D82" i="1"/>
  <c r="D62" i="1"/>
  <c r="D30" i="1"/>
  <c r="D31" i="1"/>
  <c r="D41" i="1"/>
  <c r="D45" i="1"/>
  <c r="D81" i="1"/>
  <c r="D74" i="1"/>
  <c r="D67" i="1"/>
  <c r="D94" i="1"/>
  <c r="D28" i="1"/>
  <c r="D16" i="1"/>
  <c r="D44" i="1"/>
  <c r="D46" i="1"/>
  <c r="C11" i="15"/>
  <c r="D71" i="1"/>
  <c r="D20" i="1"/>
  <c r="D43" i="1"/>
  <c r="D89" i="1"/>
  <c r="D52" i="1"/>
  <c r="D48" i="1"/>
  <c r="D93" i="1"/>
  <c r="D54" i="1"/>
  <c r="D73" i="1"/>
  <c r="D56" i="1"/>
  <c r="D29" i="1"/>
  <c r="D57" i="1"/>
  <c r="D27" i="1"/>
  <c r="D68" i="1"/>
  <c r="D21" i="1"/>
  <c r="D49" i="1"/>
  <c r="D19" i="1"/>
  <c r="D88" i="1"/>
  <c r="D87" i="1"/>
  <c r="D91" i="1"/>
  <c r="D47" i="1"/>
  <c r="D86" i="1"/>
  <c r="D17" i="1"/>
  <c r="D63" i="1"/>
  <c r="D55" i="1"/>
  <c r="D32" i="1"/>
  <c r="D33" i="1"/>
  <c r="D40" i="1"/>
  <c r="D65" i="1"/>
  <c r="D84" i="1"/>
  <c r="D18" i="1"/>
  <c r="D59" i="1"/>
  <c r="C11" i="16"/>
  <c r="D61" i="1"/>
  <c r="D78" i="1"/>
  <c r="D50" i="1"/>
  <c r="D80" i="1"/>
  <c r="D72" i="1"/>
  <c r="D22" i="1"/>
  <c r="D90" i="1"/>
  <c r="D42" i="1"/>
  <c r="D39" i="1"/>
  <c r="D92" i="1"/>
  <c r="D75" i="1"/>
  <c r="D60" i="1"/>
  <c r="D79" i="1"/>
  <c r="D26" i="1"/>
  <c r="D51" i="1"/>
  <c r="D37" i="1"/>
  <c r="D23"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<sst xmlns="http://schemas.openxmlformats.org/spreadsheetml/2006/main" count="664" uniqueCount="138">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</sst>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25" t="str">
        <f>E96</f>
        <v>21h15min</v>
      </c>
      <c r="H9" s="225"/>
      <c r="I9" s="225"/>
      <c r="J9" s="225"/>
      <c r="K9" s="225"/>
      <c r="L9" s="225"/>
      <c r="M9" s="225"/>
      <c r="N9" s="225"/>
      <c r="O9" s="225"/>
      <c r="P9" s="225"/>
      <c r="Q9" s="225"/>
      <c r="R9" s="225"/>
      <c r="S9" s="225"/>
      <c r="T9" s="225"/>
      <c r="U9" s="225"/>
      <c r="V9" s="118"/>
      <c r="W9" s="224" t="s">
        <v>21</v>
      </c>
      <c r="X9" s="224"/>
      <c r="Y9" s="224"/>
      <c r="Z9" s="224"/>
      <c r="AA9" s="224"/>
      <c r="AB9" s="224"/>
      <c r="AC9" s="224"/>
      <c r="AD9" s="224"/>
      <c r="AE9" s="224"/>
      <c r="AF9" s="224"/>
      <c r="AG9" s="224"/>
      <c r="AH9" s="225" t="str">
        <f>E98</f>
        <v>19h15min</v>
      </c>
      <c r="AI9" s="225"/>
      <c r="AJ9" s="225"/>
      <c r="AK9" s="225"/>
      <c r="AL9" s="225"/>
      <c r="AM9" s="225"/>
      <c r="AN9" s="225"/>
      <c r="AO9" s="225"/>
      <c r="AP9" s="225"/>
      <c r="AQ9" s="225"/>
      <c r="AR9" s="225"/>
      <c r="AS9" s="225"/>
      <c r="AT9" s="225"/>
      <c r="AU9" s="225"/>
      <c r="AV9" s="225"/>
      <c r="AW9" s="225"/>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27"/>
      <c r="D11" s="227"/>
      <c r="E11" s="227"/>
      <c r="F11" s="223" t="s">
        <v>71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71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28"/>
      <c r="D12" s="228"/>
      <c r="E12" s="228"/>
      <c r="F12" s="222" t="s">
        <v>74</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75</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18" t="s">
        <v>6</v>
      </c>
      <c r="D13" s="143"/>
      <c r="E13" s="220"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19"/>
      <c r="D14" s="144"/>
      <c r="E14" s="221"/>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15"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16"/>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15"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16"/>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15"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17"/>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15"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17"/>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15"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16"/>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15"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17"/>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15"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17"/>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15"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17"/>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15"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17"/>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15"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17"/>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15"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17"/>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15"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17"/>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15"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17"/>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15"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17"/>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15"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17"/>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15"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17"/>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15"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17"/>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15"/>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16"/>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15"/>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17"/>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15"/>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16"/>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15"/>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17"/>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15"/>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16"/>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15"/>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16"/>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15"/>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17"/>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15"/>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16"/>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15"/>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16"/>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15"/>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17"/>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15"/>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16"/>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15"/>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17"/>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15"/>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16"/>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15"/>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16"/>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15"/>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17"/>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15"/>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16"/>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15"/>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16"/>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15"/>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17"/>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15"/>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16"/>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15"/>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17"/>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15"/>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16"/>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15"/>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16"/>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15"/>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17"/>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07" t="s">
        <v>8</v>
      </c>
      <c r="D95" s="208"/>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09"/>
      <c r="D96" s="210"/>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1" t="s">
        <v>9</v>
      </c>
      <c r="D97" s="212"/>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3"/>
      <c r="D98" s="214"/>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zoomScaleNormal="100" zoomScaleSheetLayoutView="98" workbookViewId="0">
      <pane ySplit="1" topLeftCell="A143" activePane="bottomLeft" state="frozen"/>
      <selection activeCell="BC13" sqref="BC13"/>
      <selection pane="bottomLeft" activeCell="G157" sqref="G15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6: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32:F132"/>
    <mergeCell ref="E116:F116"/>
    <mergeCell ref="E117:F117"/>
    <mergeCell ref="E118:F118"/>
    <mergeCell ref="E119:F119"/>
    <mergeCell ref="E120:F120"/>
    <mergeCell ref="E111:F111"/>
    <mergeCell ref="E112:F112"/>
    <mergeCell ref="E113:F113"/>
    <mergeCell ref="E114:F114"/>
    <mergeCell ref="E115:F115"/>
    <mergeCell ref="E123:F123"/>
    <mergeCell ref="E124:F124"/>
    <mergeCell ref="E125:F125"/>
    <mergeCell ref="E126:F126"/>
    <mergeCell ref="E127:F127"/>
    <mergeCell ref="E128:F128"/>
    <mergeCell ref="E129:F129"/>
    <mergeCell ref="E130:F130"/>
    <mergeCell ref="E131:F131"/>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s>
  <phoneticPr fontId="0" type="noConversion"/>
  <conditionalFormatting sqref="B156">
    <cfRule type="cellIs" dxfId="25" priority="13" operator="greaterThan">
      <formula>60</formula>
    </cfRule>
  </conditionalFormatting>
  <conditionalFormatting sqref="B144">
    <cfRule type="cellIs" dxfId="24" priority="12" operator="greaterThan">
      <formula>60</formula>
    </cfRule>
  </conditionalFormatting>
  <conditionalFormatting sqref="B132">
    <cfRule type="cellIs" dxfId="23" priority="11" operator="greaterThan">
      <formula>60</formula>
    </cfRule>
  </conditionalFormatting>
  <conditionalFormatting sqref="B120">
    <cfRule type="cellIs" dxfId="22" priority="10" operator="greaterThan">
      <formula>60</formula>
    </cfRule>
  </conditionalFormatting>
  <conditionalFormatting sqref="B108">
    <cfRule type="cellIs" dxfId="21" priority="9" operator="greaterThan">
      <formula>60</formula>
    </cfRule>
  </conditionalFormatting>
  <conditionalFormatting sqref="B96">
    <cfRule type="cellIs" dxfId="20" priority="8" operator="greaterThan">
      <formula>60</formula>
    </cfRule>
  </conditionalFormatting>
  <conditionalFormatting sqref="B84">
    <cfRule type="cellIs" dxfId="19" priority="7" operator="greaterThan">
      <formula>60</formula>
    </cfRule>
  </conditionalFormatting>
  <conditionalFormatting sqref="B72">
    <cfRule type="cellIs" dxfId="18" priority="6" operator="greaterThan">
      <formula>60</formula>
    </cfRule>
  </conditionalFormatting>
  <conditionalFormatting sqref="B60">
    <cfRule type="cellIs" dxfId="17" priority="5" operator="greaterThan">
      <formula>60</formula>
    </cfRule>
  </conditionalFormatting>
  <conditionalFormatting sqref="B48">
    <cfRule type="cellIs" dxfId="16" priority="4" operator="greaterThan">
      <formula>60</formula>
    </cfRule>
  </conditionalFormatting>
  <conditionalFormatting sqref="B36">
    <cfRule type="cellIs" dxfId="15" priority="3" operator="greaterThan">
      <formula>60</formula>
    </cfRule>
  </conditionalFormatting>
  <conditionalFormatting sqref="B24">
    <cfRule type="cellIs" dxfId="14" priority="2" operator="greaterThan">
      <formula>60</formula>
    </cfRule>
  </conditionalFormatting>
  <conditionalFormatting sqref="B12">
    <cfRule type="cellIs" dxfId="1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33"/>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11</v>
      </c>
      <c r="C2" s="163"/>
      <c r="D2" s="156" t="s">
        <v>14</v>
      </c>
      <c r="E2" s="157" t="s">
        <v>135</v>
      </c>
      <c r="F2" s="158" t="s">
        <v>75</v>
      </c>
      <c r="G2" s="45"/>
    </row>
    <row r="3" spans="1:7" s="46" customFormat="1" ht="30" customHeight="1" thickBot="1">
      <c r="A3" s="77" t="s">
        <v>4</v>
      </c>
      <c r="B3" s="160" t="s">
        <v>38</v>
      </c>
      <c r="C3" s="159"/>
      <c r="D3" s="77" t="s">
        <v>12</v>
      </c>
      <c r="E3" s="243" t="s">
        <v>13</v>
      </c>
      <c r="F3" s="244"/>
      <c r="G3" s="45"/>
    </row>
    <row r="4" spans="1:7" s="51" customFormat="1" ht="54">
      <c r="A4" s="47" t="s">
        <v>60</v>
      </c>
      <c r="B4" s="48">
        <v>33</v>
      </c>
      <c r="C4" s="151" t="str">
        <f xml:space="preserve"> IF(B4="","",setValueToTime(B4))</f>
        <v>2h45min</v>
      </c>
      <c r="D4" s="165" t="s">
        <v>137</v>
      </c>
      <c r="E4" s="239"/>
      <c r="F4" s="240"/>
      <c r="G4" s="50"/>
    </row>
    <row r="5" spans="1:7" s="51" customFormat="1">
      <c r="A5" s="52" t="s">
        <v>15</v>
      </c>
      <c r="B5" s="53">
        <v>3</v>
      </c>
      <c r="C5" s="152" t="str">
        <f t="shared" ref="C5:C11" si="0" xml:space="preserve"> IF(B5="","",setValueToTime(B5))</f>
        <v>0h15min</v>
      </c>
      <c r="D5" s="166" t="s">
        <v>106</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36</v>
      </c>
      <c r="C12" s="161" t="str">
        <f xml:space="preserve"> setValueToTime(B12)</f>
        <v>3h</v>
      </c>
      <c r="D12" s="120"/>
      <c r="E12" s="241"/>
      <c r="F12" s="242"/>
      <c r="G12" s="50"/>
    </row>
    <row r="13" spans="1:7" s="58" customFormat="1" ht="15" thickBot="1">
      <c r="A13" s="76"/>
      <c r="B13" s="76"/>
      <c r="C13" s="76"/>
      <c r="D13" s="76"/>
      <c r="E13" s="76"/>
      <c r="F13" s="76"/>
      <c r="G13" s="57"/>
    </row>
    <row r="14" spans="1:7" s="46" customFormat="1" ht="30" customHeight="1" thickBot="1">
      <c r="A14" s="155" t="s">
        <v>11</v>
      </c>
      <c r="B14" s="163">
        <v>10</v>
      </c>
      <c r="C14" s="163"/>
      <c r="D14" s="156" t="s">
        <v>14</v>
      </c>
      <c r="E14" s="157" t="s">
        <v>135</v>
      </c>
      <c r="F14" s="158" t="s">
        <v>74</v>
      </c>
      <c r="G14" s="45"/>
    </row>
    <row r="15" spans="1:7" s="46" customFormat="1" ht="30" customHeight="1" thickBot="1">
      <c r="A15" s="77" t="s">
        <v>4</v>
      </c>
      <c r="B15" s="160" t="s">
        <v>38</v>
      </c>
      <c r="C15" s="159"/>
      <c r="D15" s="77" t="s">
        <v>12</v>
      </c>
      <c r="E15" s="243" t="s">
        <v>13</v>
      </c>
      <c r="F15" s="244"/>
      <c r="G15" s="45"/>
    </row>
    <row r="16" spans="1:7" s="51" customFormat="1" ht="40.5">
      <c r="A16" s="47" t="s">
        <v>59</v>
      </c>
      <c r="B16" s="48">
        <v>42</v>
      </c>
      <c r="C16" s="151" t="str">
        <f xml:space="preserve"> IF(B16="","",setValueToTime(B16))</f>
        <v>3h30min</v>
      </c>
      <c r="D16" s="165" t="s">
        <v>136</v>
      </c>
      <c r="E16" s="239"/>
      <c r="F16" s="240"/>
      <c r="G16" s="50"/>
    </row>
    <row r="17" spans="1:7" s="51" customFormat="1">
      <c r="A17" s="52" t="s">
        <v>15</v>
      </c>
      <c r="B17" s="53">
        <v>3</v>
      </c>
      <c r="C17" s="152" t="str">
        <f t="shared" ref="C17:C23" si="1" xml:space="preserve"> IF(B17="","",setValueToTime(B17))</f>
        <v>0h15min</v>
      </c>
      <c r="D17" s="166" t="s">
        <v>106</v>
      </c>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27.75" thickBot="1">
      <c r="A24" s="161" t="s">
        <v>27</v>
      </c>
      <c r="B24" s="82">
        <f>SUM(B16:B23)</f>
        <v>45</v>
      </c>
      <c r="C24" s="161" t="str">
        <f xml:space="preserve"> setValueToTime(B24)</f>
        <v>3h45min</v>
      </c>
      <c r="D24" s="120"/>
      <c r="E24" s="241"/>
      <c r="F24" s="242"/>
      <c r="G24" s="50"/>
    </row>
    <row r="25" spans="1:7" s="58" customFormat="1" ht="15" thickBot="1">
      <c r="A25" s="76"/>
      <c r="B25" s="76"/>
      <c r="C25" s="76"/>
      <c r="D25" s="76"/>
      <c r="E25" s="76"/>
      <c r="F25" s="76"/>
      <c r="G25" s="57"/>
    </row>
    <row r="26" spans="1:7" s="46" customFormat="1" ht="30" customHeight="1" thickBot="1">
      <c r="A26" s="155" t="s">
        <v>11</v>
      </c>
      <c r="B26" s="163">
        <v>9</v>
      </c>
      <c r="C26" s="163"/>
      <c r="D26" s="156" t="s">
        <v>14</v>
      </c>
      <c r="E26" s="157" t="s">
        <v>126</v>
      </c>
      <c r="F26" s="158" t="s">
        <v>75</v>
      </c>
      <c r="G26" s="45"/>
    </row>
    <row r="27" spans="1:7" s="46" customFormat="1" ht="30" customHeight="1" thickBot="1">
      <c r="A27" s="77" t="s">
        <v>4</v>
      </c>
      <c r="B27" s="160" t="s">
        <v>38</v>
      </c>
      <c r="C27" s="159"/>
      <c r="D27" s="77" t="s">
        <v>12</v>
      </c>
      <c r="E27" s="243" t="s">
        <v>13</v>
      </c>
      <c r="F27" s="244"/>
      <c r="G27" s="45"/>
    </row>
    <row r="28" spans="1:7" s="51" customFormat="1" ht="27">
      <c r="A28" s="47" t="s">
        <v>59</v>
      </c>
      <c r="B28" s="48">
        <v>33</v>
      </c>
      <c r="C28" s="151" t="str">
        <f xml:space="preserve"> IF(B28="","",setValueToTime(B28))</f>
        <v>2h45min</v>
      </c>
      <c r="D28" s="165" t="s">
        <v>134</v>
      </c>
      <c r="E28" s="239"/>
      <c r="F28" s="240"/>
      <c r="G28" s="50"/>
    </row>
    <row r="29" spans="1:7" s="51" customFormat="1">
      <c r="A29" s="52" t="s">
        <v>15</v>
      </c>
      <c r="B29" s="53">
        <v>3</v>
      </c>
      <c r="C29" s="152" t="str">
        <f t="shared" ref="C29:C35" si="2" xml:space="preserve"> IF(B29="","",setValueToTime(B29))</f>
        <v>0h15min</v>
      </c>
      <c r="D29" s="166" t="s">
        <v>106</v>
      </c>
      <c r="E29" s="231"/>
      <c r="F29" s="232"/>
      <c r="G29" s="50"/>
    </row>
    <row r="30" spans="1:7" s="51" customFormat="1">
      <c r="A30" s="52"/>
      <c r="B30" s="53"/>
      <c r="C30" s="152" t="str">
        <f t="shared" si="2"/>
        <v/>
      </c>
      <c r="D30" s="54"/>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61" t="s">
        <v>27</v>
      </c>
      <c r="B36" s="82">
        <f>SUM(B28:B35)</f>
        <v>36</v>
      </c>
      <c r="C36" s="161" t="str">
        <f xml:space="preserve"> setValueToTime(B36)</f>
        <v>3h</v>
      </c>
      <c r="D36" s="120"/>
      <c r="E36" s="241"/>
      <c r="F36" s="242"/>
      <c r="G36" s="50"/>
    </row>
    <row r="37" spans="1:7" s="58" customFormat="1" ht="15" thickBot="1">
      <c r="A37" s="76"/>
      <c r="B37" s="76"/>
      <c r="C37" s="76"/>
      <c r="D37" s="76"/>
      <c r="E37" s="76"/>
      <c r="F37" s="76"/>
      <c r="G37" s="57"/>
    </row>
    <row r="38" spans="1:7" s="46" customFormat="1" ht="30" customHeight="1" thickBot="1">
      <c r="A38" s="155" t="s">
        <v>11</v>
      </c>
      <c r="B38" s="163">
        <v>8</v>
      </c>
      <c r="C38" s="163"/>
      <c r="D38" s="156" t="s">
        <v>14</v>
      </c>
      <c r="E38" s="157" t="s">
        <v>126</v>
      </c>
      <c r="F38" s="158" t="s">
        <v>74</v>
      </c>
      <c r="G38" s="45"/>
    </row>
    <row r="39" spans="1:7" s="46" customFormat="1" ht="30" customHeight="1" thickBot="1">
      <c r="A39" s="77" t="s">
        <v>4</v>
      </c>
      <c r="B39" s="160" t="s">
        <v>38</v>
      </c>
      <c r="C39" s="159"/>
      <c r="D39" s="77" t="s">
        <v>12</v>
      </c>
      <c r="E39" s="243" t="s">
        <v>13</v>
      </c>
      <c r="F39" s="244"/>
      <c r="G39" s="45"/>
    </row>
    <row r="40" spans="1:7" s="51" customFormat="1" ht="27">
      <c r="A40" s="47" t="s">
        <v>118</v>
      </c>
      <c r="B40" s="48">
        <v>12</v>
      </c>
      <c r="C40" s="151" t="str">
        <f xml:space="preserve"> IF(B40="","",setValueToTime(B40))</f>
        <v>1h</v>
      </c>
      <c r="D40" s="165" t="s">
        <v>131</v>
      </c>
      <c r="E40" s="239"/>
      <c r="F40" s="240"/>
      <c r="G40" s="50"/>
    </row>
    <row r="41" spans="1:7" s="51" customFormat="1" ht="27">
      <c r="A41" s="52" t="s">
        <v>66</v>
      </c>
      <c r="B41" s="53">
        <v>12</v>
      </c>
      <c r="C41" s="152" t="str">
        <f t="shared" ref="C41:C47" si="3" xml:space="preserve"> IF(B41="","",setValueToTime(B41))</f>
        <v>1h</v>
      </c>
      <c r="D41" s="166" t="s">
        <v>132</v>
      </c>
      <c r="E41" s="231"/>
      <c r="F41" s="232"/>
      <c r="G41" s="50"/>
    </row>
    <row r="42" spans="1:7" s="51" customFormat="1">
      <c r="A42" s="52" t="s">
        <v>59</v>
      </c>
      <c r="B42" s="53">
        <v>21</v>
      </c>
      <c r="C42" s="152" t="str">
        <f t="shared" si="3"/>
        <v>1h45min</v>
      </c>
      <c r="D42" s="166" t="s">
        <v>133</v>
      </c>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27.75" thickBot="1">
      <c r="A48" s="161" t="s">
        <v>27</v>
      </c>
      <c r="B48" s="82">
        <f>SUM(B40:B47)</f>
        <v>45</v>
      </c>
      <c r="C48" s="161" t="str">
        <f xml:space="preserve"> setValueToTime(B48)</f>
        <v>3h45min</v>
      </c>
      <c r="D48" s="120"/>
      <c r="E48" s="241"/>
      <c r="F48" s="242"/>
      <c r="G48" s="50"/>
    </row>
    <row r="49" spans="1:7" s="58" customFormat="1" ht="15" thickBot="1">
      <c r="A49" s="76"/>
      <c r="B49" s="76"/>
      <c r="C49" s="76"/>
      <c r="D49" s="76"/>
      <c r="E49" s="76"/>
      <c r="F49" s="76"/>
      <c r="G49" s="57"/>
    </row>
    <row r="50" spans="1:7" s="46" customFormat="1" ht="30" customHeight="1" thickBot="1">
      <c r="A50" s="155" t="s">
        <v>11</v>
      </c>
      <c r="B50" s="163">
        <v>7</v>
      </c>
      <c r="C50" s="163"/>
      <c r="D50" s="156" t="s">
        <v>14</v>
      </c>
      <c r="E50" s="157" t="s">
        <v>125</v>
      </c>
      <c r="F50" s="158" t="s">
        <v>74</v>
      </c>
      <c r="G50" s="45"/>
    </row>
    <row r="51" spans="1:7" s="46" customFormat="1" ht="30" customHeight="1" thickBot="1">
      <c r="A51" s="77" t="s">
        <v>4</v>
      </c>
      <c r="B51" s="160" t="s">
        <v>38</v>
      </c>
      <c r="C51" s="159"/>
      <c r="D51" s="77" t="s">
        <v>12</v>
      </c>
      <c r="E51" s="243" t="s">
        <v>13</v>
      </c>
      <c r="F51" s="244"/>
      <c r="G51" s="45"/>
    </row>
    <row r="52" spans="1:7" s="51" customFormat="1">
      <c r="A52" s="47" t="s">
        <v>51</v>
      </c>
      <c r="B52" s="48">
        <v>6</v>
      </c>
      <c r="C52" s="151" t="str">
        <f xml:space="preserve"> IF(B52="","",setValueToTime(B52))</f>
        <v>0h30min</v>
      </c>
      <c r="D52" s="165" t="s">
        <v>127</v>
      </c>
      <c r="E52" s="239"/>
      <c r="F52" s="240"/>
      <c r="G52" s="50"/>
    </row>
    <row r="53" spans="1:7" s="51" customFormat="1" ht="27">
      <c r="A53" s="52" t="s">
        <v>65</v>
      </c>
      <c r="B53" s="53">
        <v>12</v>
      </c>
      <c r="C53" s="152" t="str">
        <f t="shared" ref="C53:C59" si="4" xml:space="preserve"> IF(B53="","",setValueToTime(B53))</f>
        <v>1h</v>
      </c>
      <c r="D53" s="166" t="s">
        <v>128</v>
      </c>
      <c r="E53" s="231"/>
      <c r="F53" s="232"/>
      <c r="G53" s="50"/>
    </row>
    <row r="54" spans="1:7" s="51" customFormat="1">
      <c r="A54" s="52" t="s">
        <v>56</v>
      </c>
      <c r="B54" s="53">
        <v>6</v>
      </c>
      <c r="C54" s="152" t="str">
        <f t="shared" si="4"/>
        <v>0h30min</v>
      </c>
      <c r="D54" s="166" t="s">
        <v>129</v>
      </c>
      <c r="E54" s="231"/>
      <c r="F54" s="232"/>
      <c r="G54" s="50"/>
    </row>
    <row r="55" spans="1:7" s="51" customFormat="1" ht="27">
      <c r="A55" s="52" t="s">
        <v>58</v>
      </c>
      <c r="B55" s="53">
        <v>12</v>
      </c>
      <c r="C55" s="152" t="str">
        <f t="shared" si="4"/>
        <v>1h</v>
      </c>
      <c r="D55" s="166" t="s">
        <v>130</v>
      </c>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1"/>
      <c r="F60" s="242"/>
      <c r="G60" s="50"/>
    </row>
    <row r="61" spans="1:7" s="58" customFormat="1" ht="15" thickBot="1">
      <c r="A61" s="76"/>
      <c r="B61" s="76"/>
      <c r="C61" s="76"/>
      <c r="D61" s="76"/>
      <c r="E61" s="76"/>
      <c r="F61" s="76"/>
      <c r="G61" s="57"/>
    </row>
    <row r="62" spans="1:7" s="46" customFormat="1" ht="30" customHeight="1" thickBot="1">
      <c r="A62" s="155" t="s">
        <v>11</v>
      </c>
      <c r="B62" s="163">
        <v>6</v>
      </c>
      <c r="C62" s="163"/>
      <c r="D62" s="156" t="s">
        <v>14</v>
      </c>
      <c r="E62" s="157" t="s">
        <v>104</v>
      </c>
      <c r="F62" s="158" t="s">
        <v>91</v>
      </c>
      <c r="G62" s="45"/>
    </row>
    <row r="63" spans="1:7" s="46" customFormat="1" ht="30" customHeight="1" thickBot="1">
      <c r="A63" s="77" t="s">
        <v>4</v>
      </c>
      <c r="B63" s="160" t="s">
        <v>38</v>
      </c>
      <c r="C63" s="159"/>
      <c r="D63" s="77" t="s">
        <v>12</v>
      </c>
      <c r="E63" s="243" t="s">
        <v>13</v>
      </c>
      <c r="F63" s="244"/>
      <c r="G63" s="45"/>
    </row>
    <row r="64" spans="1:7" s="51" customFormat="1" ht="81">
      <c r="A64" s="47" t="s">
        <v>57</v>
      </c>
      <c r="B64" s="48">
        <v>24</v>
      </c>
      <c r="C64" s="151" t="str">
        <f xml:space="preserve"> IF(B64="","",setValueToTime(B64))</f>
        <v>2h</v>
      </c>
      <c r="D64" s="165" t="s">
        <v>107</v>
      </c>
      <c r="E64" s="239"/>
      <c r="F64" s="240"/>
      <c r="G64" s="50"/>
    </row>
    <row r="65" spans="1:7" s="51" customFormat="1" ht="27">
      <c r="A65" s="52" t="s">
        <v>66</v>
      </c>
      <c r="B65" s="53">
        <v>9</v>
      </c>
      <c r="C65" s="152" t="str">
        <f t="shared" ref="C65:C71" si="5" xml:space="preserve"> IF(B65="","",setValueToTime(B65))</f>
        <v>0h45min</v>
      </c>
      <c r="D65" s="166" t="s">
        <v>108</v>
      </c>
      <c r="E65" s="231"/>
      <c r="F65" s="232"/>
      <c r="G65" s="50"/>
    </row>
    <row r="66" spans="1:7" s="51" customFormat="1">
      <c r="A66" s="52" t="s">
        <v>15</v>
      </c>
      <c r="B66" s="53">
        <v>3</v>
      </c>
      <c r="C66" s="152" t="str">
        <f t="shared" si="5"/>
        <v>0h15min</v>
      </c>
      <c r="D66" s="166" t="s">
        <v>106</v>
      </c>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61" t="s">
        <v>27</v>
      </c>
      <c r="B72" s="82">
        <f>SUM(B64:B71)</f>
        <v>36</v>
      </c>
      <c r="C72" s="161" t="str">
        <f xml:space="preserve"> setValueToTime(B72)</f>
        <v>3h</v>
      </c>
      <c r="D72" s="120"/>
      <c r="E72" s="241"/>
      <c r="F72" s="242"/>
      <c r="G72" s="50"/>
    </row>
    <row r="73" spans="1:7" s="58" customFormat="1" ht="15" thickBot="1">
      <c r="A73" s="76"/>
      <c r="B73" s="76"/>
      <c r="C73" s="76"/>
      <c r="D73" s="76"/>
      <c r="E73" s="76"/>
      <c r="F73" s="76"/>
      <c r="G73" s="57"/>
    </row>
    <row r="74" spans="1:7" s="46" customFormat="1" ht="30" customHeight="1" thickBot="1">
      <c r="A74" s="155" t="s">
        <v>11</v>
      </c>
      <c r="B74" s="163">
        <v>5</v>
      </c>
      <c r="C74" s="163"/>
      <c r="D74" s="156" t="s">
        <v>14</v>
      </c>
      <c r="E74" s="157" t="s">
        <v>104</v>
      </c>
      <c r="F74" s="158" t="s">
        <v>86</v>
      </c>
      <c r="G74" s="45"/>
    </row>
    <row r="75" spans="1:7" s="46" customFormat="1" ht="30" customHeight="1" thickBot="1">
      <c r="A75" s="77" t="s">
        <v>4</v>
      </c>
      <c r="B75" s="160" t="s">
        <v>38</v>
      </c>
      <c r="C75" s="159"/>
      <c r="D75" s="77" t="s">
        <v>12</v>
      </c>
      <c r="E75" s="243" t="s">
        <v>13</v>
      </c>
      <c r="F75" s="244"/>
      <c r="G75" s="45"/>
    </row>
    <row r="76" spans="1:7" s="51" customFormat="1" ht="148.5">
      <c r="A76" s="47" t="s">
        <v>58</v>
      </c>
      <c r="B76" s="48">
        <v>33</v>
      </c>
      <c r="C76" s="151" t="str">
        <f xml:space="preserve"> IF(B76="","",setValueToTime(B76))</f>
        <v>2h45min</v>
      </c>
      <c r="D76" s="165" t="s">
        <v>105</v>
      </c>
      <c r="E76" s="239"/>
      <c r="F76" s="240"/>
      <c r="G76" s="50"/>
    </row>
    <row r="77" spans="1:7" s="51" customFormat="1">
      <c r="A77" s="52" t="s">
        <v>15</v>
      </c>
      <c r="B77" s="53">
        <v>3</v>
      </c>
      <c r="C77" s="152" t="str">
        <f t="shared" ref="C77:C83" si="6" xml:space="preserve"> IF(B77="","",setValueToTime(B77))</f>
        <v>0h15min</v>
      </c>
      <c r="D77" s="166" t="s">
        <v>106</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61" t="s">
        <v>27</v>
      </c>
      <c r="B84" s="82">
        <f>SUM(B76:B83)</f>
        <v>36</v>
      </c>
      <c r="C84" s="161" t="str">
        <f xml:space="preserve"> setValueToTime(B84)</f>
        <v>3h</v>
      </c>
      <c r="D84" s="120"/>
      <c r="E84" s="241"/>
      <c r="F84" s="242"/>
      <c r="G84" s="50"/>
    </row>
    <row r="85" spans="1:7" s="58" customFormat="1" ht="15" thickBot="1">
      <c r="A85" s="76"/>
      <c r="B85" s="76"/>
      <c r="C85" s="76"/>
      <c r="D85" s="76"/>
      <c r="E85" s="76"/>
      <c r="F85" s="76"/>
      <c r="G85" s="57"/>
    </row>
    <row r="86" spans="1:7" s="46" customFormat="1" ht="30" customHeight="1" thickBot="1">
      <c r="A86" s="155" t="s">
        <v>11</v>
      </c>
      <c r="B86" s="163">
        <v>4</v>
      </c>
      <c r="C86" s="163"/>
      <c r="D86" s="156" t="s">
        <v>14</v>
      </c>
      <c r="E86" s="157" t="s">
        <v>97</v>
      </c>
      <c r="F86" s="158" t="s">
        <v>91</v>
      </c>
      <c r="G86" s="45"/>
    </row>
    <row r="87" spans="1:7" s="46" customFormat="1" ht="30" customHeight="1" thickBot="1">
      <c r="A87" s="77" t="s">
        <v>4</v>
      </c>
      <c r="B87" s="160" t="s">
        <v>38</v>
      </c>
      <c r="C87" s="159"/>
      <c r="D87" s="77" t="s">
        <v>12</v>
      </c>
      <c r="E87" s="243" t="s">
        <v>13</v>
      </c>
      <c r="F87" s="244"/>
      <c r="G87" s="45"/>
    </row>
    <row r="88" spans="1:7" s="51" customFormat="1" ht="81">
      <c r="A88" s="47" t="s">
        <v>58</v>
      </c>
      <c r="B88" s="48">
        <v>33</v>
      </c>
      <c r="C88" s="151" t="str">
        <f xml:space="preserve"> IF(B88="","",setValueToTime(B88))</f>
        <v>2h45min</v>
      </c>
      <c r="D88" s="165" t="s">
        <v>102</v>
      </c>
      <c r="E88" s="239"/>
      <c r="F88" s="240"/>
      <c r="G88" s="50"/>
    </row>
    <row r="89" spans="1:7" s="51" customFormat="1">
      <c r="A89" s="52" t="s">
        <v>15</v>
      </c>
      <c r="B89" s="53">
        <v>3</v>
      </c>
      <c r="C89" s="152" t="str">
        <f t="shared" ref="C89:C95" si="7" xml:space="preserve"> IF(B89="","",setValueToTime(B89))</f>
        <v>0h15min</v>
      </c>
      <c r="D89" s="166" t="s">
        <v>103</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61" t="s">
        <v>27</v>
      </c>
      <c r="B96" s="82">
        <f>SUM(B88:B95)</f>
        <v>36</v>
      </c>
      <c r="C96" s="161" t="str">
        <f xml:space="preserve"> setValueToTime(B96)</f>
        <v>3h</v>
      </c>
      <c r="D96" s="120"/>
      <c r="E96" s="241"/>
      <c r="F96" s="242"/>
      <c r="G96" s="50"/>
    </row>
    <row r="97" spans="1:7" s="58" customFormat="1" ht="15" thickBot="1">
      <c r="A97" s="76"/>
      <c r="B97" s="76"/>
      <c r="C97" s="76"/>
      <c r="D97" s="76"/>
      <c r="E97" s="76"/>
      <c r="F97" s="76"/>
      <c r="G97" s="57"/>
    </row>
    <row r="98" spans="1:7" s="46" customFormat="1" ht="30" customHeight="1" thickBot="1">
      <c r="A98" s="155" t="s">
        <v>11</v>
      </c>
      <c r="B98" s="163">
        <v>3</v>
      </c>
      <c r="C98" s="163"/>
      <c r="D98" s="156" t="s">
        <v>14</v>
      </c>
      <c r="E98" s="157" t="s">
        <v>97</v>
      </c>
      <c r="F98" s="158" t="s">
        <v>86</v>
      </c>
      <c r="G98" s="45"/>
    </row>
    <row r="99" spans="1:7" s="46" customFormat="1" ht="30" customHeight="1" thickBot="1">
      <c r="A99" s="77" t="s">
        <v>4</v>
      </c>
      <c r="B99" s="160" t="s">
        <v>38</v>
      </c>
      <c r="C99" s="159"/>
      <c r="D99" s="77" t="s">
        <v>12</v>
      </c>
      <c r="E99" s="243" t="s">
        <v>13</v>
      </c>
      <c r="F99" s="244"/>
      <c r="G99" s="45"/>
    </row>
    <row r="100" spans="1:7" s="51" customFormat="1">
      <c r="A100" s="47" t="s">
        <v>56</v>
      </c>
      <c r="B100" s="48">
        <v>3</v>
      </c>
      <c r="C100" s="151" t="str">
        <f xml:space="preserve"> IF(B100="","",setValueToTime(B100))</f>
        <v>0h15min</v>
      </c>
      <c r="D100" s="165" t="s">
        <v>98</v>
      </c>
      <c r="E100" s="239"/>
      <c r="F100" s="240"/>
      <c r="G100" s="50"/>
    </row>
    <row r="101" spans="1:7" s="51" customFormat="1">
      <c r="A101" s="52" t="s">
        <v>50</v>
      </c>
      <c r="B101" s="53">
        <v>15</v>
      </c>
      <c r="C101" s="152" t="str">
        <f t="shared" ref="C101:C107" si="8" xml:space="preserve"> IF(B101="","",setValueToTime(B101))</f>
        <v>1h15min</v>
      </c>
      <c r="D101" s="166" t="s">
        <v>99</v>
      </c>
      <c r="E101" s="231"/>
      <c r="F101" s="232"/>
      <c r="G101" s="50"/>
    </row>
    <row r="102" spans="1:7" s="51" customFormat="1" ht="27">
      <c r="A102" s="52" t="s">
        <v>52</v>
      </c>
      <c r="B102" s="53">
        <v>6</v>
      </c>
      <c r="C102" s="152" t="str">
        <f t="shared" si="8"/>
        <v>0h30min</v>
      </c>
      <c r="D102" s="166" t="s">
        <v>100</v>
      </c>
      <c r="E102" s="231"/>
      <c r="F102" s="232"/>
      <c r="G102" s="50"/>
    </row>
    <row r="103" spans="1:7" s="51" customFormat="1" ht="67.5">
      <c r="A103" s="52" t="s">
        <v>58</v>
      </c>
      <c r="B103" s="53">
        <v>12</v>
      </c>
      <c r="C103" s="152" t="str">
        <f t="shared" si="8"/>
        <v>1h</v>
      </c>
      <c r="D103" s="166" t="s">
        <v>101</v>
      </c>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61" t="s">
        <v>27</v>
      </c>
      <c r="B108" s="82">
        <f>SUM(B100:B107)</f>
        <v>36</v>
      </c>
      <c r="C108" s="161" t="str">
        <f xml:space="preserve"> setValueToTime(B108)</f>
        <v>3h</v>
      </c>
      <c r="D108" s="120"/>
      <c r="E108" s="241"/>
      <c r="F108" s="242"/>
      <c r="G108" s="50"/>
    </row>
    <row r="109" spans="1:7" s="58" customFormat="1" ht="15" thickBot="1">
      <c r="A109" s="76"/>
      <c r="B109" s="76"/>
      <c r="C109" s="76"/>
      <c r="D109" s="76"/>
      <c r="E109" s="76"/>
      <c r="F109" s="76"/>
      <c r="G109" s="57"/>
    </row>
    <row r="110" spans="1:7" s="46" customFormat="1" ht="30" customHeight="1" thickBot="1">
      <c r="A110" s="155" t="s">
        <v>11</v>
      </c>
      <c r="B110" s="163">
        <v>2</v>
      </c>
      <c r="C110" s="163"/>
      <c r="D110" s="156" t="s">
        <v>14</v>
      </c>
      <c r="E110" s="157" t="s">
        <v>71</v>
      </c>
      <c r="F110" s="158" t="s">
        <v>75</v>
      </c>
      <c r="G110" s="45"/>
    </row>
    <row r="111" spans="1:7" s="46" customFormat="1" ht="30" customHeight="1" thickBot="1">
      <c r="A111" s="77" t="s">
        <v>4</v>
      </c>
      <c r="B111" s="160" t="s">
        <v>38</v>
      </c>
      <c r="C111" s="159"/>
      <c r="D111" s="77" t="s">
        <v>12</v>
      </c>
      <c r="E111" s="243" t="s">
        <v>13</v>
      </c>
      <c r="F111" s="244"/>
      <c r="G111" s="45"/>
    </row>
    <row r="112" spans="1:7" s="51" customFormat="1" ht="67.5">
      <c r="A112" s="47" t="s">
        <v>58</v>
      </c>
      <c r="B112" s="48">
        <v>33</v>
      </c>
      <c r="C112" s="151" t="str">
        <f xml:space="preserve"> IF(B112="","",setValueToTime(B112))</f>
        <v>2h45min</v>
      </c>
      <c r="D112" s="165" t="s">
        <v>84</v>
      </c>
      <c r="E112" s="239"/>
      <c r="F112" s="240"/>
      <c r="G112" s="50"/>
    </row>
    <row r="113" spans="1:7" s="51" customFormat="1">
      <c r="A113" s="52" t="s">
        <v>15</v>
      </c>
      <c r="B113" s="53">
        <v>3</v>
      </c>
      <c r="C113" s="152" t="str">
        <f t="shared" ref="C113:C119" si="9" xml:space="preserve"> IF(B113="","",setValueToTime(B113))</f>
        <v>0h15min</v>
      </c>
      <c r="D113" s="166" t="s">
        <v>85</v>
      </c>
      <c r="E113" s="231"/>
      <c r="F113" s="232"/>
      <c r="G113" s="50"/>
    </row>
    <row r="114" spans="1:7" s="51" customFormat="1">
      <c r="A114" s="52"/>
      <c r="B114" s="53"/>
      <c r="C114" s="152" t="str">
        <f t="shared" si="9"/>
        <v/>
      </c>
      <c r="D114" s="54"/>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61" t="s">
        <v>27</v>
      </c>
      <c r="B120" s="82">
        <f>SUM(B112:B119)</f>
        <v>36</v>
      </c>
      <c r="C120" s="161" t="str">
        <f xml:space="preserve"> setValueToTime(B120)</f>
        <v>3h</v>
      </c>
      <c r="D120" s="120"/>
      <c r="E120" s="241"/>
      <c r="F120" s="242"/>
      <c r="G120" s="50"/>
    </row>
    <row r="121" spans="1:7" s="58" customFormat="1" ht="15" thickBot="1">
      <c r="A121" s="76"/>
      <c r="B121" s="76"/>
      <c r="C121" s="76"/>
      <c r="D121" s="76"/>
      <c r="E121" s="76"/>
      <c r="F121" s="76"/>
      <c r="G121" s="57"/>
    </row>
    <row r="122" spans="1:7" s="46" customFormat="1" ht="30" customHeight="1" thickBot="1">
      <c r="A122" s="155" t="s">
        <v>11</v>
      </c>
      <c r="B122" s="163">
        <v>1</v>
      </c>
      <c r="C122" s="163"/>
      <c r="D122" s="156" t="s">
        <v>14</v>
      </c>
      <c r="E122" s="157" t="s">
        <v>71</v>
      </c>
      <c r="F122" s="158" t="s">
        <v>74</v>
      </c>
      <c r="G122" s="45"/>
    </row>
    <row r="123" spans="1:7" s="46" customFormat="1" ht="30" customHeight="1" thickBot="1">
      <c r="A123" s="77" t="s">
        <v>4</v>
      </c>
      <c r="B123" s="160" t="s">
        <v>38</v>
      </c>
      <c r="C123" s="159"/>
      <c r="D123" s="77" t="s">
        <v>12</v>
      </c>
      <c r="E123" s="243" t="s">
        <v>13</v>
      </c>
      <c r="F123" s="244"/>
      <c r="G123" s="45"/>
    </row>
    <row r="124" spans="1:7" s="51" customFormat="1">
      <c r="A124" s="47" t="s">
        <v>51</v>
      </c>
      <c r="B124" s="48">
        <v>12</v>
      </c>
      <c r="C124" s="151" t="str">
        <f xml:space="preserve"> IF(B124="","",setValueToTime(B124))</f>
        <v>1h</v>
      </c>
      <c r="D124" s="165" t="s">
        <v>79</v>
      </c>
      <c r="E124" s="239"/>
      <c r="F124" s="240"/>
      <c r="G124" s="50"/>
    </row>
    <row r="125" spans="1:7" s="51" customFormat="1">
      <c r="A125" s="52" t="s">
        <v>56</v>
      </c>
      <c r="B125" s="53">
        <v>9</v>
      </c>
      <c r="C125" s="152" t="str">
        <f t="shared" ref="C125:C131" si="10" xml:space="preserve"> IF(B125="","",setValueToTime(B125))</f>
        <v>0h45min</v>
      </c>
      <c r="D125" s="166" t="s">
        <v>69</v>
      </c>
      <c r="E125" s="231"/>
      <c r="F125" s="232"/>
      <c r="G125" s="50"/>
    </row>
    <row r="126" spans="1:7" s="51" customFormat="1" ht="27">
      <c r="A126" s="52" t="s">
        <v>64</v>
      </c>
      <c r="B126" s="53">
        <v>9</v>
      </c>
      <c r="C126" s="152" t="str">
        <f t="shared" si="10"/>
        <v>0h45min</v>
      </c>
      <c r="D126" s="166" t="s">
        <v>81</v>
      </c>
      <c r="E126" s="245" t="s">
        <v>80</v>
      </c>
      <c r="F126" s="232"/>
      <c r="G126" s="50"/>
    </row>
    <row r="127" spans="1:7" s="51" customFormat="1" ht="27">
      <c r="A127" s="52" t="s">
        <v>65</v>
      </c>
      <c r="B127" s="53">
        <v>3</v>
      </c>
      <c r="C127" s="152" t="str">
        <f t="shared" si="10"/>
        <v>0h15min</v>
      </c>
      <c r="D127" s="166" t="s">
        <v>82</v>
      </c>
      <c r="E127" s="231"/>
      <c r="F127" s="232"/>
      <c r="G127" s="50"/>
    </row>
    <row r="128" spans="1:7" s="51" customFormat="1" ht="40.5">
      <c r="A128" s="53" t="s">
        <v>58</v>
      </c>
      <c r="B128" s="53">
        <v>18</v>
      </c>
      <c r="C128" s="153" t="str">
        <f t="shared" si="10"/>
        <v>1h30min</v>
      </c>
      <c r="D128" s="166" t="s">
        <v>83</v>
      </c>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27.75" thickBot="1">
      <c r="A132" s="161" t="s">
        <v>27</v>
      </c>
      <c r="B132" s="82">
        <f>SUM(B124:B131)</f>
        <v>51</v>
      </c>
      <c r="C132" s="161" t="str">
        <f xml:space="preserve"> setValueToTime(B132)</f>
        <v>4h15min</v>
      </c>
      <c r="D132" s="120"/>
      <c r="E132" s="241"/>
      <c r="F132" s="242"/>
      <c r="G132" s="50"/>
    </row>
    <row r="133" spans="1:7" s="58" customFormat="1">
      <c r="A133" s="76"/>
      <c r="B133" s="76"/>
      <c r="C133" s="76"/>
      <c r="D133" s="76"/>
      <c r="E133" s="76"/>
      <c r="F133" s="76"/>
      <c r="G133" s="57"/>
    </row>
  </sheetData>
  <sheetProtection formatRows="0" insertRows="0" insertHyperlinks="0" deleteRows="0" selectLockedCells="1"/>
  <mergeCells count="110">
    <mergeCell ref="E101:F101"/>
    <mergeCell ref="E102:F102"/>
    <mergeCell ref="E103:F103"/>
    <mergeCell ref="E3:F3"/>
    <mergeCell ref="E4:F4"/>
    <mergeCell ref="E5:F5"/>
    <mergeCell ref="E6:F6"/>
    <mergeCell ref="E7:F7"/>
    <mergeCell ref="E8:F8"/>
    <mergeCell ref="E9:F9"/>
    <mergeCell ref="E10:F10"/>
    <mergeCell ref="E11:F11"/>
    <mergeCell ref="E12:F12"/>
    <mergeCell ref="E117:F117"/>
    <mergeCell ref="E118:F118"/>
    <mergeCell ref="E119:F119"/>
    <mergeCell ref="E104:F104"/>
    <mergeCell ref="E105:F105"/>
    <mergeCell ref="E106:F106"/>
    <mergeCell ref="E107:F107"/>
    <mergeCell ref="E108:F108"/>
    <mergeCell ref="E130:F130"/>
    <mergeCell ref="E87:F87"/>
    <mergeCell ref="E88:F88"/>
    <mergeCell ref="E89:F89"/>
    <mergeCell ref="E90:F90"/>
    <mergeCell ref="E91:F91"/>
    <mergeCell ref="E92:F92"/>
    <mergeCell ref="E93:F93"/>
    <mergeCell ref="E94:F94"/>
    <mergeCell ref="E95:F95"/>
    <mergeCell ref="E96:F96"/>
    <mergeCell ref="E99:F99"/>
    <mergeCell ref="E100:F100"/>
    <mergeCell ref="E132:F132"/>
    <mergeCell ref="E111:F111"/>
    <mergeCell ref="E112:F112"/>
    <mergeCell ref="E113:F113"/>
    <mergeCell ref="E114:F114"/>
    <mergeCell ref="E115:F115"/>
    <mergeCell ref="E116:F116"/>
    <mergeCell ref="E123:F123"/>
    <mergeCell ref="E124:F124"/>
    <mergeCell ref="E125:F125"/>
    <mergeCell ref="E126:F126"/>
    <mergeCell ref="E127:F127"/>
    <mergeCell ref="E128:F128"/>
    <mergeCell ref="E120:F120"/>
    <mergeCell ref="E129:F129"/>
    <mergeCell ref="E131:F131"/>
    <mergeCell ref="E83:F83"/>
    <mergeCell ref="E84:F84"/>
    <mergeCell ref="E75:F75"/>
    <mergeCell ref="E76:F76"/>
    <mergeCell ref="E77:F77"/>
    <mergeCell ref="E78:F78"/>
    <mergeCell ref="E79:F79"/>
    <mergeCell ref="E80:F80"/>
    <mergeCell ref="E81:F81"/>
    <mergeCell ref="E82:F82"/>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32 B120 B108 B96 B84 B72 B60 B48 B36 B24 B12">
      <formula1>0</formula1>
      <formula2>60</formula2>
    </dataValidation>
    <dataValidation type="list" allowBlank="1" showInputMessage="1" showErrorMessage="1" sqref="A124:A131 A112:A119 A100:A107 A88:A95 A76:A83 A64:A71 A52:A59 A40:A47 A28:A35 A16:A23 A4:A11">
      <formula1>ListeTaches</formula1>
    </dataValidation>
  </dataValidations>
  <hyperlinks>
    <hyperlink ref="E12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942975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3" t="s">
        <v>13</v>
      </c>
      <c r="F2" s="244"/>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1"/>
      <c r="F11" s="242"/>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2021-02-04T15:32:49Z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