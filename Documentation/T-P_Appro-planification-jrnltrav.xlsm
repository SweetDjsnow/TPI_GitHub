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2"/>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B12" i="10"/>
  <c r="C11" i="10"/>
  <c r="C10" i="10"/>
  <c r="C9" i="10"/>
  <c r="C8" i="10"/>
  <c r="C7" i="10"/>
  <c r="C6" i="10"/>
  <c r="C5" i="10"/>
  <c r="C4" i="10"/>
  <c r="B24" i="10"/>
  <c r="C23" i="10"/>
  <c r="C22" i="10"/>
  <c r="C21" i="10"/>
  <c r="C20" i="10"/>
  <c r="C19" i="10"/>
  <c r="C18" i="10"/>
  <c r="C17" i="10"/>
  <c r="C16" i="10"/>
  <c r="B36" i="10"/>
  <c r="C35" i="10"/>
  <c r="C34" i="10"/>
  <c r="C33" i="10"/>
  <c r="C32" i="10"/>
  <c r="C31" i="10"/>
  <c r="C30" i="10"/>
  <c r="C29" i="10"/>
  <c r="C28" i="10"/>
  <c r="B48" i="10"/>
  <c r="C47" i="10"/>
  <c r="C46" i="10"/>
  <c r="C45" i="10"/>
  <c r="C44" i="10"/>
  <c r="C43" i="10"/>
  <c r="C42" i="10"/>
  <c r="C41" i="10"/>
  <c r="C40" i="10"/>
  <c r="B60" i="10"/>
  <c r="C59" i="10"/>
  <c r="C58" i="10"/>
  <c r="C57" i="10"/>
  <c r="C56" i="10"/>
  <c r="C55" i="10"/>
  <c r="C54" i="10"/>
  <c r="B72" i="10"/>
  <c r="C71" i="10"/>
  <c r="C70" i="10"/>
  <c r="C69" i="10"/>
  <c r="C68" i="10"/>
  <c r="C67" i="10"/>
  <c r="C66" i="10"/>
  <c r="C65" i="10"/>
  <c r="B84" i="10"/>
  <c r="C83" i="10"/>
  <c r="C82" i="10"/>
  <c r="C81" i="10"/>
  <c r="C80" i="10"/>
  <c r="C79" i="10"/>
  <c r="C78" i="10"/>
  <c r="C77" i="10"/>
  <c r="B36" i="12"/>
  <c r="C35" i="12"/>
  <c r="C34" i="12"/>
  <c r="C33" i="12"/>
  <c r="C32" i="12"/>
  <c r="C31" i="12"/>
  <c r="C30" i="12"/>
  <c r="C29" i="12"/>
  <c r="C18" i="12"/>
  <c r="C17" i="12"/>
  <c r="C16" i="12"/>
  <c r="C24" i="12"/>
  <c r="C53" i="10"/>
  <c r="C52" i="10"/>
  <c r="C12" i="10"/>
  <c r="C24" i="10"/>
  <c r="C36" i="10"/>
  <c r="C48" i="10"/>
  <c r="C60" i="10"/>
  <c r="C64" i="10"/>
  <c r="C72" i="10"/>
  <c r="C76" i="10"/>
  <c r="C84" i="10"/>
  <c r="C28" i="12"/>
  <c r="C36" i="12"/>
  <c r="B48" i="12" l="1"/>
  <c r="C47" i="12"/>
  <c r="C46" i="12"/>
  <c r="C45" i="12"/>
  <c r="C44" i="12"/>
  <c r="C43" i="12"/>
  <c r="C42" i="12"/>
  <c r="C41" i="12"/>
  <c r="C40" i="12"/>
  <c r="C48" i="12"/>
  <c r="B60" i="12" l="1"/>
  <c r="C59" i="12"/>
  <c r="C58" i="12"/>
  <c r="C57" i="12"/>
  <c r="C56" i="12"/>
  <c r="C55" i="12"/>
  <c r="C54" i="12"/>
  <c r="C53" i="12"/>
  <c r="C52" i="12"/>
  <c r="C60" i="12"/>
  <c r="B72" i="12" l="1"/>
  <c r="C71" i="12"/>
  <c r="C70" i="12"/>
  <c r="C69" i="12"/>
  <c r="C68" i="12"/>
  <c r="C67" i="12"/>
  <c r="C66" i="12"/>
  <c r="C65" i="12"/>
  <c r="C64" i="12"/>
  <c r="C72" i="12"/>
  <c r="B84" i="12" l="1"/>
  <c r="C83" i="12"/>
  <c r="C82" i="12"/>
  <c r="C81" i="12"/>
  <c r="C80" i="12"/>
  <c r="C79" i="12"/>
  <c r="C78" i="12"/>
  <c r="C76" i="12"/>
  <c r="C77" i="12"/>
  <c r="C84" i="12"/>
  <c r="B96" i="12" l="1"/>
  <c r="C95" i="12"/>
  <c r="C94" i="12"/>
  <c r="C93" i="12"/>
  <c r="C92" i="12"/>
  <c r="C91" i="12"/>
  <c r="C90" i="12"/>
  <c r="B108" i="12"/>
  <c r="C107" i="12"/>
  <c r="C106" i="12"/>
  <c r="C105" i="12"/>
  <c r="C104" i="12"/>
  <c r="C103" i="12"/>
  <c r="B120" i="12"/>
  <c r="C119" i="12"/>
  <c r="C118" i="12"/>
  <c r="C117" i="12"/>
  <c r="C116" i="12"/>
  <c r="C101" i="12"/>
  <c r="C108" i="12"/>
  <c r="C96" i="12"/>
  <c r="C120" i="12"/>
  <c r="C89" i="12"/>
  <c r="C113" i="12"/>
  <c r="C100" i="12"/>
  <c r="C114" i="12"/>
  <c r="C115" i="12"/>
  <c r="C102" i="12"/>
  <c r="C112" i="12"/>
  <c r="C88" i="12"/>
  <c r="B96" i="10" l="1"/>
  <c r="C95" i="10"/>
  <c r="C94" i="10"/>
  <c r="C93" i="10"/>
  <c r="C92" i="10"/>
  <c r="C91" i="10"/>
  <c r="C90" i="10"/>
  <c r="B108" i="10"/>
  <c r="C107" i="10"/>
  <c r="C106" i="10"/>
  <c r="C105" i="10"/>
  <c r="C104" i="10"/>
  <c r="C103" i="10"/>
  <c r="C102" i="10"/>
  <c r="C101" i="10"/>
  <c r="B120" i="10"/>
  <c r="C119" i="10"/>
  <c r="C118" i="10"/>
  <c r="C117" i="10"/>
  <c r="C116" i="10"/>
  <c r="C115" i="10"/>
  <c r="B132" i="10"/>
  <c r="C131" i="10"/>
  <c r="C130" i="10"/>
  <c r="C129" i="10"/>
  <c r="C128" i="10"/>
  <c r="C127" i="10"/>
  <c r="C126" i="10"/>
  <c r="C125" i="10"/>
  <c r="B144" i="10"/>
  <c r="C143" i="10"/>
  <c r="C142" i="10"/>
  <c r="C141" i="10"/>
  <c r="C140" i="10"/>
  <c r="C139" i="10"/>
  <c r="B156" i="10"/>
  <c r="C155" i="10"/>
  <c r="C154" i="10"/>
  <c r="C153" i="10"/>
  <c r="C152" i="10"/>
  <c r="C151" i="10"/>
  <c r="C150" i="10"/>
  <c r="B168" i="10"/>
  <c r="C167" i="10"/>
  <c r="C166" i="10"/>
  <c r="C165" i="10"/>
  <c r="C164" i="10"/>
  <c r="C163" i="10"/>
  <c r="C162" i="10"/>
  <c r="C137" i="10"/>
  <c r="C108" i="10"/>
  <c r="C160" i="10"/>
  <c r="C120" i="10"/>
  <c r="C89" i="10"/>
  <c r="C112" i="10"/>
  <c r="C114" i="10"/>
  <c r="C100" i="10"/>
  <c r="C96" i="10"/>
  <c r="C124" i="10"/>
  <c r="C161" i="10"/>
  <c r="C144" i="10"/>
  <c r="C136" i="10"/>
  <c r="C168" i="10"/>
  <c r="C156" i="10"/>
  <c r="C113" i="10"/>
  <c r="C88" i="10"/>
  <c r="C138" i="10"/>
  <c r="C132" i="10"/>
  <c r="B132" i="12" l="1"/>
  <c r="C131" i="12"/>
  <c r="C130" i="12"/>
  <c r="C129" i="12"/>
  <c r="C128" i="12"/>
  <c r="C127" i="12"/>
  <c r="B144" i="12"/>
  <c r="C143" i="12"/>
  <c r="C142" i="12"/>
  <c r="C141" i="12"/>
  <c r="C140" i="12"/>
  <c r="C139" i="12"/>
  <c r="C138" i="12"/>
  <c r="C126" i="12"/>
  <c r="C136" i="12"/>
  <c r="C132" i="12"/>
  <c r="C144" i="12"/>
  <c r="C124" i="12"/>
  <c r="C137" i="12"/>
  <c r="C125" i="12"/>
  <c r="B156" i="12" l="1"/>
  <c r="C155" i="12"/>
  <c r="C154" i="12"/>
  <c r="C153" i="12"/>
  <c r="C152" i="12"/>
  <c r="C151" i="12"/>
  <c r="C150" i="12"/>
  <c r="C148" i="12"/>
  <c r="C149" i="12"/>
  <c r="C156" i="12"/>
  <c r="B168" i="12" l="1"/>
  <c r="C167" i="12"/>
  <c r="C166" i="12"/>
  <c r="C165" i="12"/>
  <c r="C164" i="12"/>
  <c r="C161" i="12"/>
  <c r="C168" i="12"/>
  <c r="C163" i="12"/>
  <c r="C162" i="12"/>
  <c r="C160" i="12"/>
  <c r="B180" i="10" l="1"/>
  <c r="C179" i="10"/>
  <c r="C178" i="10"/>
  <c r="C177" i="10"/>
  <c r="C176" i="10"/>
  <c r="C175" i="10"/>
  <c r="C174" i="10"/>
  <c r="B192" i="10"/>
  <c r="C191" i="10"/>
  <c r="C190" i="10"/>
  <c r="C189" i="10"/>
  <c r="C188" i="10"/>
  <c r="C187" i="10"/>
  <c r="C186" i="10"/>
  <c r="C185" i="10"/>
  <c r="B204" i="10"/>
  <c r="C203" i="10"/>
  <c r="C202" i="10"/>
  <c r="C201" i="10"/>
  <c r="C200" i="10"/>
  <c r="C199" i="10"/>
  <c r="B216" i="10"/>
  <c r="C215" i="10"/>
  <c r="C214" i="10"/>
  <c r="C213" i="10"/>
  <c r="C212" i="10"/>
  <c r="C211" i="10"/>
  <c r="C173" i="10"/>
  <c r="C204" i="10"/>
  <c r="C180" i="10"/>
  <c r="C192" i="10"/>
  <c r="C216" i="10"/>
  <c r="C197" i="10"/>
  <c r="C196" i="10"/>
  <c r="C172" i="10"/>
  <c r="C208" i="10"/>
  <c r="C209" i="10"/>
  <c r="C198" i="10"/>
  <c r="C210" i="10"/>
  <c r="C184" i="10"/>
  <c r="B180" i="12" l="1"/>
  <c r="C179" i="12"/>
  <c r="C178" i="12"/>
  <c r="C177" i="12"/>
  <c r="C176" i="12"/>
  <c r="C175" i="12"/>
  <c r="C174" i="12"/>
  <c r="B192" i="12"/>
  <c r="C191" i="12"/>
  <c r="C190" i="12"/>
  <c r="C189" i="12"/>
  <c r="B228" i="10"/>
  <c r="C227" i="10"/>
  <c r="C226" i="10"/>
  <c r="C225" i="10"/>
  <c r="C224" i="10"/>
  <c r="C223" i="10"/>
  <c r="C222" i="10"/>
  <c r="B240" i="10"/>
  <c r="C239" i="10"/>
  <c r="C238" i="10"/>
  <c r="C237" i="10"/>
  <c r="C236" i="10"/>
  <c r="C172" i="12"/>
  <c r="C232" i="10"/>
  <c r="C173" i="12"/>
  <c r="C188" i="12"/>
  <c r="C185" i="12"/>
  <c r="C240" i="10"/>
  <c r="C186" i="12"/>
  <c r="C233" i="10"/>
  <c r="C180" i="12"/>
  <c r="C192" i="12"/>
  <c r="C234" i="10"/>
  <c r="C235" i="10"/>
  <c r="C184" i="12"/>
  <c r="C228" i="10"/>
  <c r="C187" i="12"/>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<sst xmlns="http://schemas.openxmlformats.org/spreadsheetml/2006/main" count="822" uniqueCount="160">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</sst>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17" borderId="53" xfId="0" applyFont="1" applyFill="1" applyBorder="1"/>
    <xf numFmtId="0" fontId="0" fillId="0" borderId="11" xfId="0" applyFill="1" applyBorder="1"/>
    <xf numFmtId="0" fontId="2" fillId="0" borderId="0" xfId="0" applyFont="1" applyFill="1"/>
  </cellXfs>
  <cellStyles count="2">
    <cellStyle name="Lien hypertexte" xfId="1" builtinId="8"/>
    <cellStyle name="Normal" xfId="0" builtinId="0" customBuiltin="1"/>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8" t="s">
        <v>30</v>
      </c>
      <c r="C35" s="198"/>
      <c r="D35" s="198"/>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199" t="s">
        <v>31</v>
      </c>
      <c r="C37" s="199"/>
      <c r="D37" s="199"/>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A9" zoomScale="70" zoomScaleNormal="70" zoomScaleSheetLayoutView="10" zoomScalePageLayoutView="10" workbookViewId="0">
      <selection activeCell="F94" sqref="F94:ARA9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13" t="s">
        <v>29</v>
      </c>
      <c r="D1" s="213"/>
      <c r="E1" s="21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14"/>
      <c r="D7" s="214"/>
      <c r="E7" s="21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18" t="str">
        <f>E96</f>
        <v>253h30min</v>
      </c>
      <c r="H9" s="218"/>
      <c r="I9" s="218"/>
      <c r="J9" s="218"/>
      <c r="K9" s="218"/>
      <c r="L9" s="218"/>
      <c r="M9" s="218"/>
      <c r="N9" s="218"/>
      <c r="O9" s="218"/>
      <c r="P9" s="218"/>
      <c r="Q9" s="218"/>
      <c r="R9" s="218"/>
      <c r="S9" s="218"/>
      <c r="T9" s="218"/>
      <c r="U9" s="218"/>
      <c r="V9" s="118"/>
      <c r="W9" s="217" t="s">
        <v>21</v>
      </c>
      <c r="X9" s="217"/>
      <c r="Y9" s="217"/>
      <c r="Z9" s="217"/>
      <c r="AA9" s="217"/>
      <c r="AB9" s="217"/>
      <c r="AC9" s="217"/>
      <c r="AD9" s="217"/>
      <c r="AE9" s="217"/>
      <c r="AF9" s="217"/>
      <c r="AG9" s="217"/>
      <c r="AH9" s="218" t="str">
        <f>E98</f>
        <v>50h45min</v>
      </c>
      <c r="AI9" s="218"/>
      <c r="AJ9" s="218"/>
      <c r="AK9" s="218"/>
      <c r="AL9" s="218"/>
      <c r="AM9" s="218"/>
      <c r="AN9" s="218"/>
      <c r="AO9" s="218"/>
      <c r="AP9" s="218"/>
      <c r="AQ9" s="218"/>
      <c r="AR9" s="218"/>
      <c r="AS9" s="218"/>
      <c r="AT9" s="218"/>
      <c r="AU9" s="218"/>
      <c r="AV9" s="218"/>
      <c r="AW9" s="218"/>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19"/>
      <c r="BO10" s="219"/>
      <c r="BP10" s="219"/>
      <c r="BQ10" s="219"/>
      <c r="BR10" s="219"/>
      <c r="BS10" s="219"/>
      <c r="BT10" s="219"/>
      <c r="BU10" s="219"/>
      <c r="BV10" s="219"/>
      <c r="BW10" s="219"/>
      <c r="BX10" s="219"/>
      <c r="BY10" s="219"/>
      <c r="BZ10" s="219"/>
      <c r="CA10" s="219"/>
      <c r="CB10" s="219"/>
      <c r="CC10" s="219"/>
      <c r="CD10" s="219"/>
      <c r="CE10" s="219"/>
      <c r="CF10" s="219"/>
      <c r="CG10" s="219"/>
      <c r="CH10" s="219"/>
      <c r="CI10" s="219"/>
      <c r="CJ10" s="219"/>
      <c r="CK10" s="219"/>
      <c r="CL10" s="219"/>
      <c r="CM10" s="219"/>
      <c r="CN10" s="219"/>
      <c r="CO10" s="219"/>
      <c r="CP10" s="219"/>
      <c r="CQ10" s="91"/>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89"/>
    </row>
    <row r="11" spans="1:1146" ht="20.100000000000001" customHeight="1">
      <c r="B11" s="95"/>
      <c r="C11" s="211"/>
      <c r="D11" s="211"/>
      <c r="E11" s="211"/>
      <c r="F11" s="216" t="s">
        <v>71</v>
      </c>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t="s">
        <v>71</v>
      </c>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c r="DU11" s="216"/>
      <c r="DV11" s="201" t="s">
        <v>97</v>
      </c>
      <c r="DW11" s="201"/>
      <c r="DX11" s="201"/>
      <c r="DY11" s="201"/>
      <c r="DZ11" s="201"/>
      <c r="EA11" s="201"/>
      <c r="EB11" s="201"/>
      <c r="EC11" s="201"/>
      <c r="ED11" s="201"/>
      <c r="EE11" s="201"/>
      <c r="EF11" s="201"/>
      <c r="EG11" s="201"/>
      <c r="EH11" s="201"/>
      <c r="EI11" s="201"/>
      <c r="EJ11" s="201"/>
      <c r="EK11" s="201"/>
      <c r="EL11" s="201"/>
      <c r="EM11" s="201"/>
      <c r="EN11" s="201"/>
      <c r="EO11" s="201"/>
      <c r="EP11" s="201"/>
      <c r="EQ11" s="201"/>
      <c r="ER11" s="201"/>
      <c r="ES11" s="201"/>
      <c r="ET11" s="201"/>
      <c r="EU11" s="201"/>
      <c r="EV11" s="201"/>
      <c r="EW11" s="201"/>
      <c r="EX11" s="201"/>
      <c r="EY11" s="201"/>
      <c r="EZ11" s="201"/>
      <c r="FA11" s="201"/>
      <c r="FB11" s="201"/>
      <c r="FC11" s="201"/>
      <c r="FD11" s="201"/>
      <c r="FE11" s="201"/>
      <c r="FF11" s="201"/>
      <c r="FG11" s="201"/>
      <c r="FH11" s="201"/>
      <c r="FI11" s="201"/>
      <c r="FJ11" s="201"/>
      <c r="FK11" s="201"/>
      <c r="FL11" s="201"/>
      <c r="FM11" s="201"/>
      <c r="FN11" s="201"/>
      <c r="FO11" s="201"/>
      <c r="FP11" s="201"/>
      <c r="FQ11" s="201"/>
      <c r="FR11" s="201"/>
      <c r="FS11" s="201"/>
      <c r="FT11" s="201"/>
      <c r="FU11" s="201"/>
      <c r="FV11" s="201"/>
      <c r="FW11" s="201"/>
      <c r="FX11" s="201"/>
      <c r="FY11" s="201"/>
      <c r="FZ11" s="201"/>
      <c r="GA11" s="201"/>
      <c r="GB11" s="201"/>
      <c r="GC11" s="201"/>
      <c r="GD11" s="201" t="s">
        <v>97</v>
      </c>
      <c r="GE11" s="201"/>
      <c r="GF11" s="201"/>
      <c r="GG11" s="201"/>
      <c r="GH11" s="201"/>
      <c r="GI11" s="201"/>
      <c r="GJ11" s="201"/>
      <c r="GK11" s="201"/>
      <c r="GL11" s="201"/>
      <c r="GM11" s="201"/>
      <c r="GN11" s="201"/>
      <c r="GO11" s="201"/>
      <c r="GP11" s="201"/>
      <c r="GQ11" s="201"/>
      <c r="GR11" s="201"/>
      <c r="GS11" s="201"/>
      <c r="GT11" s="201"/>
      <c r="GU11" s="201"/>
      <c r="GV11" s="201"/>
      <c r="GW11" s="201"/>
      <c r="GX11" s="201"/>
      <c r="GY11" s="201"/>
      <c r="GZ11" s="201"/>
      <c r="HA11" s="201"/>
      <c r="HB11" s="201"/>
      <c r="HC11" s="201"/>
      <c r="HD11" s="201"/>
      <c r="HE11" s="201"/>
      <c r="HF11" s="201"/>
      <c r="HG11" s="201"/>
      <c r="HH11" s="201"/>
      <c r="HI11" s="201"/>
      <c r="HJ11" s="201"/>
      <c r="HK11" s="201"/>
      <c r="HL11" s="201"/>
      <c r="HM11" s="201"/>
      <c r="HN11" s="201"/>
      <c r="HO11" s="201"/>
      <c r="HP11" s="201"/>
      <c r="HQ11" s="201"/>
      <c r="HR11" s="201"/>
      <c r="HS11" s="201"/>
      <c r="HT11" s="201"/>
      <c r="HU11" s="201"/>
      <c r="HV11" s="201"/>
      <c r="HW11" s="201"/>
      <c r="HX11" s="201"/>
      <c r="HY11" s="201"/>
      <c r="HZ11" s="201"/>
      <c r="IA11" s="201"/>
      <c r="IB11" s="201"/>
      <c r="IC11" s="201"/>
      <c r="ID11" s="201"/>
      <c r="IE11" s="201"/>
      <c r="IF11" s="201"/>
      <c r="IG11" s="201"/>
      <c r="IH11" s="201"/>
      <c r="II11" s="201"/>
      <c r="IJ11" s="201"/>
      <c r="IK11" s="201"/>
      <c r="IL11" s="201" t="s">
        <v>104</v>
      </c>
      <c r="IM11" s="201"/>
      <c r="IN11" s="201"/>
      <c r="IO11" s="201"/>
      <c r="IP11" s="201"/>
      <c r="IQ11" s="201"/>
      <c r="IR11" s="201"/>
      <c r="IS11" s="201"/>
      <c r="IT11" s="201"/>
      <c r="IU11" s="201"/>
      <c r="IV11" s="201"/>
      <c r="IW11" s="201"/>
      <c r="IX11" s="201"/>
      <c r="IY11" s="201"/>
      <c r="IZ11" s="201"/>
      <c r="JA11" s="201"/>
      <c r="JB11" s="201"/>
      <c r="JC11" s="201"/>
      <c r="JD11" s="201"/>
      <c r="JE11" s="201"/>
      <c r="JF11" s="201"/>
      <c r="JG11" s="201"/>
      <c r="JH11" s="201"/>
      <c r="JI11" s="201"/>
      <c r="JJ11" s="201"/>
      <c r="JK11" s="201"/>
      <c r="JL11" s="201"/>
      <c r="JM11" s="201"/>
      <c r="JN11" s="201"/>
      <c r="JO11" s="201"/>
      <c r="JP11" s="201"/>
      <c r="JQ11" s="201"/>
      <c r="JR11" s="201"/>
      <c r="JS11" s="201"/>
      <c r="JT11" s="201"/>
      <c r="JU11" s="201"/>
      <c r="JV11" s="201"/>
      <c r="JW11" s="201"/>
      <c r="JX11" s="201"/>
      <c r="JY11" s="201"/>
      <c r="JZ11" s="201"/>
      <c r="KA11" s="201"/>
      <c r="KB11" s="201"/>
      <c r="KC11" s="201"/>
      <c r="KD11" s="201"/>
      <c r="KE11" s="201"/>
      <c r="KF11" s="201"/>
      <c r="KG11" s="201"/>
      <c r="KH11" s="201"/>
      <c r="KI11" s="201"/>
      <c r="KJ11" s="201"/>
      <c r="KK11" s="201"/>
      <c r="KL11" s="201"/>
      <c r="KM11" s="201"/>
      <c r="KN11" s="201"/>
      <c r="KO11" s="201"/>
      <c r="KP11" s="201"/>
      <c r="KQ11" s="201"/>
      <c r="KR11" s="201"/>
      <c r="KS11" s="201"/>
      <c r="KT11" s="201" t="s">
        <v>104</v>
      </c>
      <c r="KU11" s="201"/>
      <c r="KV11" s="201"/>
      <c r="KW11" s="201"/>
      <c r="KX11" s="201"/>
      <c r="KY11" s="201"/>
      <c r="KZ11" s="201"/>
      <c r="LA11" s="201"/>
      <c r="LB11" s="201"/>
      <c r="LC11" s="201"/>
      <c r="LD11" s="201"/>
      <c r="LE11" s="201"/>
      <c r="LF11" s="201"/>
      <c r="LG11" s="201"/>
      <c r="LH11" s="201"/>
      <c r="LI11" s="201"/>
      <c r="LJ11" s="201"/>
      <c r="LK11" s="201"/>
      <c r="LL11" s="201"/>
      <c r="LM11" s="201"/>
      <c r="LN11" s="201"/>
      <c r="LO11" s="201"/>
      <c r="LP11" s="201"/>
      <c r="LQ11" s="201"/>
      <c r="LR11" s="201"/>
      <c r="LS11" s="201"/>
      <c r="LT11" s="201"/>
      <c r="LU11" s="201"/>
      <c r="LV11" s="201"/>
      <c r="LW11" s="201"/>
      <c r="LX11" s="201"/>
      <c r="LY11" s="201"/>
      <c r="LZ11" s="201"/>
      <c r="MA11" s="201"/>
      <c r="MB11" s="201"/>
      <c r="MC11" s="201"/>
      <c r="MD11" s="201"/>
      <c r="ME11" s="201"/>
      <c r="MF11" s="201"/>
      <c r="MG11" s="201"/>
      <c r="MH11" s="201"/>
      <c r="MI11" s="201"/>
      <c r="MJ11" s="201"/>
      <c r="MK11" s="201"/>
      <c r="ML11" s="201"/>
      <c r="MM11" s="201"/>
      <c r="MN11" s="201"/>
      <c r="MO11" s="201"/>
      <c r="MP11" s="201"/>
      <c r="MQ11" s="201"/>
      <c r="MR11" s="201"/>
      <c r="MS11" s="201"/>
      <c r="MT11" s="201"/>
      <c r="MU11" s="201"/>
      <c r="MV11" s="201"/>
      <c r="MW11" s="201"/>
      <c r="MX11" s="201"/>
      <c r="MY11" s="201"/>
      <c r="MZ11" s="201"/>
      <c r="NA11" s="201"/>
      <c r="NB11" s="201" t="s">
        <v>125</v>
      </c>
      <c r="NC11" s="201"/>
      <c r="ND11" s="201"/>
      <c r="NE11" s="201"/>
      <c r="NF11" s="201"/>
      <c r="NG11" s="201"/>
      <c r="NH11" s="201"/>
      <c r="NI11" s="201"/>
      <c r="NJ11" s="201"/>
      <c r="NK11" s="201"/>
      <c r="NL11" s="201"/>
      <c r="NM11" s="201"/>
      <c r="NN11" s="201"/>
      <c r="NO11" s="201"/>
      <c r="NP11" s="201"/>
      <c r="NQ11" s="201"/>
      <c r="NR11" s="201"/>
      <c r="NS11" s="201"/>
      <c r="NT11" s="201"/>
      <c r="NU11" s="201"/>
      <c r="NV11" s="201"/>
      <c r="NW11" s="201"/>
      <c r="NX11" s="201"/>
      <c r="NY11" s="201"/>
      <c r="NZ11" s="201"/>
      <c r="OA11" s="201"/>
      <c r="OB11" s="201"/>
      <c r="OC11" s="201"/>
      <c r="OD11" s="201"/>
      <c r="OE11" s="201"/>
      <c r="OF11" s="201"/>
      <c r="OG11" s="201"/>
      <c r="OH11" s="201"/>
      <c r="OI11" s="201"/>
      <c r="OJ11" s="201"/>
      <c r="OK11" s="201"/>
      <c r="OL11" s="201"/>
      <c r="OM11" s="201"/>
      <c r="ON11" s="201"/>
      <c r="OO11" s="201"/>
      <c r="OP11" s="201"/>
      <c r="OQ11" s="201"/>
      <c r="OR11" s="201"/>
      <c r="OS11" s="201"/>
      <c r="OT11" s="201"/>
      <c r="OU11" s="201"/>
      <c r="OV11" s="201"/>
      <c r="OW11" s="201"/>
      <c r="OX11" s="201"/>
      <c r="OY11" s="201"/>
      <c r="OZ11" s="201"/>
      <c r="PA11" s="201"/>
      <c r="PB11" s="201"/>
      <c r="PC11" s="201"/>
      <c r="PD11" s="201"/>
      <c r="PE11" s="201"/>
      <c r="PF11" s="201"/>
      <c r="PG11" s="201"/>
      <c r="PH11" s="201"/>
      <c r="PI11" s="201"/>
      <c r="PJ11" s="201" t="s">
        <v>126</v>
      </c>
      <c r="PK11" s="201"/>
      <c r="PL11" s="201"/>
      <c r="PM11" s="201"/>
      <c r="PN11" s="201"/>
      <c r="PO11" s="201"/>
      <c r="PP11" s="201"/>
      <c r="PQ11" s="201"/>
      <c r="PR11" s="201"/>
      <c r="PS11" s="201"/>
      <c r="PT11" s="201"/>
      <c r="PU11" s="201"/>
      <c r="PV11" s="201"/>
      <c r="PW11" s="201"/>
      <c r="PX11" s="201"/>
      <c r="PY11" s="201"/>
      <c r="PZ11" s="201"/>
      <c r="QA11" s="201"/>
      <c r="QB11" s="201"/>
      <c r="QC11" s="201"/>
      <c r="QD11" s="201"/>
      <c r="QE11" s="201"/>
      <c r="QF11" s="201"/>
      <c r="QG11" s="201"/>
      <c r="QH11" s="201"/>
      <c r="QI11" s="201"/>
      <c r="QJ11" s="201"/>
      <c r="QK11" s="201"/>
      <c r="QL11" s="201"/>
      <c r="QM11" s="201"/>
      <c r="QN11" s="201"/>
      <c r="QO11" s="201"/>
      <c r="QP11" s="201"/>
      <c r="QQ11" s="201"/>
      <c r="QR11" s="201"/>
      <c r="QS11" s="201"/>
      <c r="QT11" s="201"/>
      <c r="QU11" s="201"/>
      <c r="QV11" s="201"/>
      <c r="QW11" s="201"/>
      <c r="QX11" s="201"/>
      <c r="QY11" s="201"/>
      <c r="QZ11" s="201"/>
      <c r="RA11" s="201"/>
      <c r="RB11" s="201"/>
      <c r="RC11" s="201"/>
      <c r="RD11" s="201"/>
      <c r="RE11" s="201"/>
      <c r="RF11" s="201"/>
      <c r="RG11" s="201"/>
      <c r="RH11" s="201"/>
      <c r="RI11" s="201"/>
      <c r="RJ11" s="201"/>
      <c r="RK11" s="201"/>
      <c r="RL11" s="201"/>
      <c r="RM11" s="201"/>
      <c r="RN11" s="201"/>
      <c r="RO11" s="201"/>
      <c r="RP11" s="201"/>
      <c r="RQ11" s="201"/>
      <c r="RR11" s="201" t="s">
        <v>126</v>
      </c>
      <c r="RS11" s="201"/>
      <c r="RT11" s="201"/>
      <c r="RU11" s="201"/>
      <c r="RV11" s="201"/>
      <c r="RW11" s="201"/>
      <c r="RX11" s="201"/>
      <c r="RY11" s="201"/>
      <c r="RZ11" s="201"/>
      <c r="SA11" s="201"/>
      <c r="SB11" s="201"/>
      <c r="SC11" s="201"/>
      <c r="SD11" s="201"/>
      <c r="SE11" s="201"/>
      <c r="SF11" s="201"/>
      <c r="SG11" s="201"/>
      <c r="SH11" s="201"/>
      <c r="SI11" s="201"/>
      <c r="SJ11" s="201"/>
      <c r="SK11" s="201"/>
      <c r="SL11" s="201"/>
      <c r="SM11" s="201"/>
      <c r="SN11" s="201"/>
      <c r="SO11" s="201"/>
      <c r="SP11" s="201"/>
      <c r="SQ11" s="201"/>
      <c r="SR11" s="201"/>
      <c r="SS11" s="201"/>
      <c r="ST11" s="201"/>
      <c r="SU11" s="201"/>
      <c r="SV11" s="201"/>
      <c r="SW11" s="201"/>
      <c r="SX11" s="201"/>
      <c r="SY11" s="201"/>
      <c r="SZ11" s="201"/>
      <c r="TA11" s="201"/>
      <c r="TB11" s="201"/>
      <c r="TC11" s="201"/>
      <c r="TD11" s="201"/>
      <c r="TE11" s="201"/>
      <c r="TF11" s="201"/>
      <c r="TG11" s="201"/>
      <c r="TH11" s="201"/>
      <c r="TI11" s="201"/>
      <c r="TJ11" s="201"/>
      <c r="TK11" s="201"/>
      <c r="TL11" s="201"/>
      <c r="TM11" s="201"/>
      <c r="TN11" s="201"/>
      <c r="TO11" s="201"/>
      <c r="TP11" s="201"/>
      <c r="TQ11" s="201"/>
      <c r="TR11" s="201"/>
      <c r="TS11" s="201"/>
      <c r="TT11" s="201"/>
      <c r="TU11" s="201"/>
      <c r="TV11" s="201"/>
      <c r="TW11" s="201"/>
      <c r="TX11" s="201"/>
      <c r="TY11" s="201"/>
      <c r="TZ11" s="201" t="s">
        <v>135</v>
      </c>
      <c r="UA11" s="201"/>
      <c r="UB11" s="201"/>
      <c r="UC11" s="201"/>
      <c r="UD11" s="201"/>
      <c r="UE11" s="201"/>
      <c r="UF11" s="201"/>
      <c r="UG11" s="201"/>
      <c r="UH11" s="201"/>
      <c r="UI11" s="201"/>
      <c r="UJ11" s="201"/>
      <c r="UK11" s="201"/>
      <c r="UL11" s="201"/>
      <c r="UM11" s="201"/>
      <c r="UN11" s="201"/>
      <c r="UO11" s="201"/>
      <c r="UP11" s="201"/>
      <c r="UQ11" s="201"/>
      <c r="UR11" s="201"/>
      <c r="US11" s="201"/>
      <c r="UT11" s="201"/>
      <c r="UU11" s="201"/>
      <c r="UV11" s="201"/>
      <c r="UW11" s="201"/>
      <c r="UX11" s="201"/>
      <c r="UY11" s="201"/>
      <c r="UZ11" s="201"/>
      <c r="VA11" s="201"/>
      <c r="VB11" s="201"/>
      <c r="VC11" s="201"/>
      <c r="VD11" s="201"/>
      <c r="VE11" s="201"/>
      <c r="VF11" s="201"/>
      <c r="VG11" s="201"/>
      <c r="VH11" s="201"/>
      <c r="VI11" s="201"/>
      <c r="VJ11" s="201"/>
      <c r="VK11" s="201"/>
      <c r="VL11" s="201"/>
      <c r="VM11" s="201"/>
      <c r="VN11" s="201"/>
      <c r="VO11" s="201"/>
      <c r="VP11" s="201"/>
      <c r="VQ11" s="201"/>
      <c r="VR11" s="201"/>
      <c r="VS11" s="201"/>
      <c r="VT11" s="201"/>
      <c r="VU11" s="201"/>
      <c r="VV11" s="201"/>
      <c r="VW11" s="201"/>
      <c r="VX11" s="201"/>
      <c r="VY11" s="201"/>
      <c r="VZ11" s="201"/>
      <c r="WA11" s="201"/>
      <c r="WB11" s="201"/>
      <c r="WC11" s="201"/>
      <c r="WD11" s="201"/>
      <c r="WE11" s="201"/>
      <c r="WF11" s="201"/>
      <c r="WG11" s="201"/>
      <c r="WH11" s="201" t="s">
        <v>135</v>
      </c>
      <c r="WI11" s="201"/>
      <c r="WJ11" s="201"/>
      <c r="WK11" s="201"/>
      <c r="WL11" s="201"/>
      <c r="WM11" s="201"/>
      <c r="WN11" s="201"/>
      <c r="WO11" s="201"/>
      <c r="WP11" s="201"/>
      <c r="WQ11" s="201"/>
      <c r="WR11" s="201"/>
      <c r="WS11" s="201"/>
      <c r="WT11" s="201"/>
      <c r="WU11" s="201"/>
      <c r="WV11" s="201"/>
      <c r="WW11" s="201"/>
      <c r="WX11" s="201"/>
      <c r="WY11" s="201"/>
      <c r="WZ11" s="201"/>
      <c r="XA11" s="201"/>
      <c r="XB11" s="201"/>
      <c r="XC11" s="201"/>
      <c r="XD11" s="201"/>
      <c r="XE11" s="201"/>
      <c r="XF11" s="201"/>
      <c r="XG11" s="201"/>
      <c r="XH11" s="201"/>
      <c r="XI11" s="201"/>
      <c r="XJ11" s="201"/>
      <c r="XK11" s="201"/>
      <c r="XL11" s="201"/>
      <c r="XM11" s="201"/>
      <c r="XN11" s="201"/>
      <c r="XO11" s="201"/>
      <c r="XP11" s="201"/>
      <c r="XQ11" s="201"/>
      <c r="XR11" s="201"/>
      <c r="XS11" s="201"/>
      <c r="XT11" s="201"/>
      <c r="XU11" s="201"/>
      <c r="XV11" s="201"/>
      <c r="XW11" s="201"/>
      <c r="XX11" s="201"/>
      <c r="XY11" s="201"/>
      <c r="XZ11" s="201"/>
      <c r="YA11" s="201"/>
      <c r="YB11" s="201"/>
      <c r="YC11" s="201"/>
      <c r="YD11" s="201"/>
      <c r="YE11" s="201"/>
      <c r="YF11" s="201"/>
      <c r="YG11" s="201"/>
      <c r="YH11" s="201"/>
      <c r="YI11" s="201"/>
      <c r="YJ11" s="201"/>
      <c r="YK11" s="201"/>
      <c r="YL11" s="201"/>
      <c r="YM11" s="201"/>
      <c r="YN11" s="201"/>
      <c r="YO11" s="201"/>
      <c r="YP11" s="201" t="s">
        <v>138</v>
      </c>
      <c r="YQ11" s="201"/>
      <c r="YR11" s="201"/>
      <c r="YS11" s="201"/>
      <c r="YT11" s="201"/>
      <c r="YU11" s="201"/>
      <c r="YV11" s="201"/>
      <c r="YW11" s="201"/>
      <c r="YX11" s="201"/>
      <c r="YY11" s="201"/>
      <c r="YZ11" s="201"/>
      <c r="ZA11" s="201"/>
      <c r="ZB11" s="201"/>
      <c r="ZC11" s="201"/>
      <c r="ZD11" s="201"/>
      <c r="ZE11" s="201"/>
      <c r="ZF11" s="201"/>
      <c r="ZG11" s="201"/>
      <c r="ZH11" s="201"/>
      <c r="ZI11" s="201"/>
      <c r="ZJ11" s="201"/>
      <c r="ZK11" s="201"/>
      <c r="ZL11" s="201"/>
      <c r="ZM11" s="201"/>
      <c r="ZN11" s="201"/>
      <c r="ZO11" s="201"/>
      <c r="ZP11" s="201"/>
      <c r="ZQ11" s="201"/>
      <c r="ZR11" s="201"/>
      <c r="ZS11" s="201"/>
      <c r="ZT11" s="201"/>
      <c r="ZU11" s="201"/>
      <c r="ZV11" s="201"/>
      <c r="ZW11" s="201"/>
      <c r="ZX11" s="201"/>
      <c r="ZY11" s="201"/>
      <c r="ZZ11" s="201"/>
      <c r="AAA11" s="201"/>
      <c r="AAB11" s="201"/>
      <c r="AAC11" s="201"/>
      <c r="AAD11" s="201"/>
      <c r="AAE11" s="201"/>
      <c r="AAF11" s="201"/>
      <c r="AAG11" s="201"/>
      <c r="AAH11" s="201"/>
      <c r="AAI11" s="201"/>
      <c r="AAJ11" s="201"/>
      <c r="AAK11" s="201"/>
      <c r="AAL11" s="201"/>
      <c r="AAM11" s="201"/>
      <c r="AAN11" s="201"/>
      <c r="AAO11" s="201"/>
      <c r="AAP11" s="201"/>
      <c r="AAQ11" s="201"/>
      <c r="AAR11" s="201"/>
      <c r="AAS11" s="201"/>
      <c r="AAT11" s="201"/>
      <c r="AAU11" s="201"/>
      <c r="AAV11" s="201"/>
      <c r="AAW11" s="201"/>
      <c r="AAX11" s="201" t="s">
        <v>138</v>
      </c>
      <c r="AAY11" s="201"/>
      <c r="AAZ11" s="201"/>
      <c r="ABA11" s="201"/>
      <c r="ABB11" s="201"/>
      <c r="ABC11" s="201"/>
      <c r="ABD11" s="201"/>
      <c r="ABE11" s="201"/>
      <c r="ABF11" s="201"/>
      <c r="ABG11" s="201"/>
      <c r="ABH11" s="201"/>
      <c r="ABI11" s="201"/>
      <c r="ABJ11" s="201"/>
      <c r="ABK11" s="201"/>
      <c r="ABL11" s="201"/>
      <c r="ABM11" s="201"/>
      <c r="ABN11" s="201"/>
      <c r="ABO11" s="201"/>
      <c r="ABP11" s="201"/>
      <c r="ABQ11" s="201"/>
      <c r="ABR11" s="201"/>
      <c r="ABS11" s="201"/>
      <c r="ABT11" s="201"/>
      <c r="ABU11" s="201"/>
      <c r="ABV11" s="201"/>
      <c r="ABW11" s="201"/>
      <c r="ABX11" s="201"/>
      <c r="ABY11" s="201"/>
      <c r="ABZ11" s="201"/>
      <c r="ACA11" s="201"/>
      <c r="ACB11" s="201"/>
      <c r="ACC11" s="201"/>
      <c r="ACD11" s="201"/>
      <c r="ACE11" s="201"/>
      <c r="ACF11" s="201"/>
      <c r="ACG11" s="201"/>
      <c r="ACH11" s="201"/>
      <c r="ACI11" s="201"/>
      <c r="ACJ11" s="201"/>
      <c r="ACK11" s="201"/>
      <c r="ACL11" s="201"/>
      <c r="ACM11" s="201"/>
      <c r="ACN11" s="201"/>
      <c r="ACO11" s="201"/>
      <c r="ACP11" s="201"/>
      <c r="ACQ11" s="201"/>
      <c r="ACR11" s="201"/>
      <c r="ACS11" s="201"/>
      <c r="ACT11" s="201"/>
      <c r="ACU11" s="201"/>
      <c r="ACV11" s="201"/>
      <c r="ACW11" s="201"/>
      <c r="ACX11" s="201"/>
      <c r="ACY11" s="201"/>
      <c r="ACZ11" s="201"/>
      <c r="ADA11" s="201"/>
      <c r="ADB11" s="201"/>
      <c r="ADC11" s="201"/>
      <c r="ADD11" s="201"/>
      <c r="ADE11" s="201"/>
      <c r="ADF11" s="201" t="s">
        <v>159</v>
      </c>
      <c r="ADG11" s="201"/>
      <c r="ADH11" s="201"/>
      <c r="ADI11" s="201"/>
      <c r="ADJ11" s="201"/>
      <c r="ADK11" s="201"/>
      <c r="ADL11" s="201"/>
      <c r="ADM11" s="201"/>
      <c r="ADN11" s="201"/>
      <c r="ADO11" s="201"/>
      <c r="ADP11" s="201"/>
      <c r="ADQ11" s="201"/>
      <c r="ADR11" s="201"/>
      <c r="ADS11" s="201"/>
      <c r="ADT11" s="201"/>
      <c r="ADU11" s="201"/>
      <c r="ADV11" s="201"/>
      <c r="ADW11" s="201"/>
      <c r="ADX11" s="201"/>
      <c r="ADY11" s="201"/>
      <c r="ADZ11" s="201"/>
      <c r="AEA11" s="201"/>
      <c r="AEB11" s="201"/>
      <c r="AEC11" s="201"/>
      <c r="AED11" s="201"/>
      <c r="AEE11" s="201"/>
      <c r="AEF11" s="201"/>
      <c r="AEG11" s="201"/>
      <c r="AEH11" s="201"/>
      <c r="AEI11" s="201"/>
      <c r="AEJ11" s="201"/>
      <c r="AEK11" s="201"/>
      <c r="AEL11" s="201"/>
      <c r="AEM11" s="201"/>
      <c r="AEN11" s="201"/>
      <c r="AEO11" s="201"/>
      <c r="AEP11" s="201"/>
      <c r="AEQ11" s="201"/>
      <c r="AER11" s="201"/>
      <c r="AES11" s="201"/>
      <c r="AET11" s="201"/>
      <c r="AEU11" s="201"/>
      <c r="AEV11" s="201"/>
      <c r="AEW11" s="201"/>
      <c r="AEX11" s="201"/>
      <c r="AEY11" s="201"/>
      <c r="AEZ11" s="201"/>
      <c r="AFA11" s="201"/>
      <c r="AFB11" s="201"/>
      <c r="AFC11" s="201"/>
      <c r="AFD11" s="201"/>
      <c r="AFE11" s="201"/>
      <c r="AFF11" s="201"/>
      <c r="AFG11" s="201"/>
      <c r="AFH11" s="201"/>
      <c r="AFI11" s="201"/>
      <c r="AFJ11" s="201"/>
      <c r="AFK11" s="201"/>
      <c r="AFL11" s="201"/>
      <c r="AFM11" s="201"/>
      <c r="AFN11" s="201" t="s">
        <v>146</v>
      </c>
      <c r="AFO11" s="201"/>
      <c r="AFP11" s="201"/>
      <c r="AFQ11" s="201"/>
      <c r="AFR11" s="201"/>
      <c r="AFS11" s="201"/>
      <c r="AFT11" s="201"/>
      <c r="AFU11" s="201"/>
      <c r="AFV11" s="201"/>
      <c r="AFW11" s="201"/>
      <c r="AFX11" s="201"/>
      <c r="AFY11" s="201"/>
      <c r="AFZ11" s="201"/>
      <c r="AGA11" s="201"/>
      <c r="AGB11" s="201"/>
      <c r="AGC11" s="201"/>
      <c r="AGD11" s="201"/>
      <c r="AGE11" s="201"/>
      <c r="AGF11" s="201"/>
      <c r="AGG11" s="201"/>
      <c r="AGH11" s="201"/>
      <c r="AGI11" s="201"/>
      <c r="AGJ11" s="201"/>
      <c r="AGK11" s="201"/>
      <c r="AGL11" s="201"/>
      <c r="AGM11" s="201"/>
      <c r="AGN11" s="201"/>
      <c r="AGO11" s="201"/>
      <c r="AGP11" s="201"/>
      <c r="AGQ11" s="201"/>
      <c r="AGR11" s="201"/>
      <c r="AGS11" s="201"/>
      <c r="AGT11" s="201"/>
      <c r="AGU11" s="201"/>
      <c r="AGV11" s="201"/>
      <c r="AGW11" s="201"/>
      <c r="AGX11" s="201"/>
      <c r="AGY11" s="201"/>
      <c r="AGZ11" s="201"/>
      <c r="AHA11" s="201"/>
      <c r="AHB11" s="201"/>
      <c r="AHC11" s="201"/>
      <c r="AHD11" s="201"/>
      <c r="AHE11" s="201"/>
      <c r="AHF11" s="201"/>
      <c r="AHG11" s="201"/>
      <c r="AHH11" s="201"/>
      <c r="AHI11" s="201"/>
      <c r="AHJ11" s="201"/>
      <c r="AHK11" s="201"/>
      <c r="AHL11" s="201"/>
      <c r="AHM11" s="201"/>
      <c r="AHN11" s="201"/>
      <c r="AHO11" s="201"/>
      <c r="AHP11" s="201"/>
      <c r="AHQ11" s="201"/>
      <c r="AHR11" s="201"/>
      <c r="AHS11" s="201"/>
      <c r="AHT11" s="201"/>
      <c r="AHU11" s="201"/>
      <c r="AHV11" s="201" t="s">
        <v>146</v>
      </c>
      <c r="AHW11" s="201"/>
      <c r="AHX11" s="201"/>
      <c r="AHY11" s="201"/>
      <c r="AHZ11" s="201"/>
      <c r="AIA11" s="201"/>
      <c r="AIB11" s="201"/>
      <c r="AIC11" s="201"/>
      <c r="AID11" s="201"/>
      <c r="AIE11" s="201"/>
      <c r="AIF11" s="201"/>
      <c r="AIG11" s="201"/>
      <c r="AIH11" s="201"/>
      <c r="AII11" s="201"/>
      <c r="AIJ11" s="201"/>
      <c r="AIK11" s="201"/>
      <c r="AIL11" s="201"/>
      <c r="AIM11" s="201"/>
      <c r="AIN11" s="201"/>
      <c r="AIO11" s="201"/>
      <c r="AIP11" s="201"/>
      <c r="AIQ11" s="201"/>
      <c r="AIR11" s="201"/>
      <c r="AIS11" s="201"/>
      <c r="AIT11" s="201"/>
      <c r="AIU11" s="201"/>
      <c r="AIV11" s="201"/>
      <c r="AIW11" s="201"/>
      <c r="AIX11" s="201"/>
      <c r="AIY11" s="201"/>
      <c r="AIZ11" s="201"/>
      <c r="AJA11" s="201"/>
      <c r="AJB11" s="201"/>
      <c r="AJC11" s="201"/>
      <c r="AJD11" s="201"/>
      <c r="AJE11" s="201"/>
      <c r="AJF11" s="201"/>
      <c r="AJG11" s="201"/>
      <c r="AJH11" s="201"/>
      <c r="AJI11" s="201"/>
      <c r="AJJ11" s="201"/>
      <c r="AJK11" s="201"/>
      <c r="AJL11" s="201"/>
      <c r="AJM11" s="201"/>
      <c r="AJN11" s="201"/>
      <c r="AJO11" s="201"/>
      <c r="AJP11" s="201"/>
      <c r="AJQ11" s="201"/>
      <c r="AJR11" s="201"/>
      <c r="AJS11" s="201"/>
      <c r="AJT11" s="201"/>
      <c r="AJU11" s="201"/>
      <c r="AJV11" s="201"/>
      <c r="AJW11" s="201"/>
      <c r="AJX11" s="201"/>
      <c r="AJY11" s="201"/>
      <c r="AJZ11" s="201"/>
      <c r="AKA11" s="201"/>
      <c r="AKB11" s="201"/>
      <c r="AKC11" s="201"/>
      <c r="AKD11" s="201" t="s">
        <v>156</v>
      </c>
      <c r="AKE11" s="201"/>
      <c r="AKF11" s="201"/>
      <c r="AKG11" s="201"/>
      <c r="AKH11" s="201"/>
      <c r="AKI11" s="201"/>
      <c r="AKJ11" s="201"/>
      <c r="AKK11" s="201"/>
      <c r="AKL11" s="201"/>
      <c r="AKM11" s="201"/>
      <c r="AKN11" s="201"/>
      <c r="AKO11" s="201"/>
      <c r="AKP11" s="201"/>
      <c r="AKQ11" s="201"/>
      <c r="AKR11" s="201"/>
      <c r="AKS11" s="201"/>
      <c r="AKT11" s="201"/>
      <c r="AKU11" s="201"/>
      <c r="AKV11" s="201"/>
      <c r="AKW11" s="201"/>
      <c r="AKX11" s="201"/>
      <c r="AKY11" s="201"/>
      <c r="AKZ11" s="201"/>
      <c r="ALA11" s="201"/>
      <c r="ALB11" s="201"/>
      <c r="ALC11" s="201"/>
      <c r="ALD11" s="201"/>
      <c r="ALE11" s="201"/>
      <c r="ALF11" s="201"/>
      <c r="ALG11" s="201"/>
      <c r="ALH11" s="201"/>
      <c r="ALI11" s="201"/>
      <c r="ALJ11" s="201"/>
      <c r="ALK11" s="201"/>
      <c r="ALL11" s="201"/>
      <c r="ALM11" s="201"/>
      <c r="ALN11" s="201"/>
      <c r="ALO11" s="201"/>
      <c r="ALP11" s="201"/>
      <c r="ALQ11" s="201"/>
      <c r="ALR11" s="201"/>
      <c r="ALS11" s="201"/>
      <c r="ALT11" s="201"/>
      <c r="ALU11" s="201"/>
      <c r="ALV11" s="201"/>
      <c r="ALW11" s="201"/>
      <c r="ALX11" s="201"/>
      <c r="ALY11" s="201"/>
      <c r="ALZ11" s="201"/>
      <c r="AMA11" s="201"/>
      <c r="AMB11" s="201"/>
      <c r="AMC11" s="201"/>
      <c r="AMD11" s="201"/>
      <c r="AME11" s="201"/>
      <c r="AMF11" s="201"/>
      <c r="AMG11" s="201"/>
      <c r="AMH11" s="201"/>
      <c r="AMI11" s="201"/>
      <c r="AMJ11" s="201"/>
      <c r="AMK11" s="201"/>
      <c r="AML11" s="201" t="s">
        <v>156</v>
      </c>
      <c r="AMM11" s="201"/>
      <c r="AMN11" s="201"/>
      <c r="AMO11" s="201"/>
      <c r="AMP11" s="201"/>
      <c r="AMQ11" s="201"/>
      <c r="AMR11" s="201"/>
      <c r="AMS11" s="201"/>
      <c r="AMT11" s="201"/>
      <c r="AMU11" s="201"/>
      <c r="AMV11" s="201"/>
      <c r="AMW11" s="201"/>
      <c r="AMX11" s="201"/>
      <c r="AMY11" s="201"/>
      <c r="AMZ11" s="201"/>
      <c r="ANA11" s="201"/>
      <c r="ANB11" s="201"/>
      <c r="ANC11" s="201"/>
      <c r="AND11" s="201"/>
      <c r="ANE11" s="201"/>
      <c r="ANF11" s="201"/>
      <c r="ANG11" s="201"/>
      <c r="ANH11" s="201"/>
      <c r="ANI11" s="201"/>
      <c r="ANJ11" s="201"/>
      <c r="ANK11" s="201"/>
      <c r="ANL11" s="201"/>
      <c r="ANM11" s="201"/>
      <c r="ANN11" s="201"/>
      <c r="ANO11" s="201"/>
      <c r="ANP11" s="201"/>
      <c r="ANQ11" s="201"/>
      <c r="ANR11" s="201"/>
      <c r="ANS11" s="201"/>
      <c r="ANT11" s="201"/>
      <c r="ANU11" s="201"/>
      <c r="ANV11" s="201"/>
      <c r="ANW11" s="201"/>
      <c r="ANX11" s="201"/>
      <c r="ANY11" s="201"/>
      <c r="ANZ11" s="201"/>
      <c r="AOA11" s="201"/>
      <c r="AOB11" s="201"/>
      <c r="AOC11" s="201"/>
      <c r="AOD11" s="201"/>
      <c r="AOE11" s="201"/>
      <c r="AOF11" s="201"/>
      <c r="AOG11" s="201"/>
      <c r="AOH11" s="201"/>
      <c r="AOI11" s="201"/>
      <c r="AOJ11" s="201"/>
      <c r="AOK11" s="201"/>
      <c r="AOL11" s="201"/>
      <c r="AOM11" s="201"/>
      <c r="AON11" s="201"/>
      <c r="AOO11" s="201"/>
      <c r="AOP11" s="201"/>
      <c r="AOQ11" s="201"/>
      <c r="AOR11" s="201"/>
      <c r="AOS11" s="201"/>
      <c r="AOT11" s="89" t="s">
        <v>153</v>
      </c>
      <c r="ARB11" s="3" t="s">
        <v>153</v>
      </c>
    </row>
    <row r="12" spans="1:1146" ht="15.75" customHeight="1" thickBot="1">
      <c r="B12" s="96"/>
      <c r="C12" s="212"/>
      <c r="D12" s="212"/>
      <c r="E12" s="212"/>
      <c r="F12" s="215" t="s">
        <v>74</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75</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202" t="s">
        <v>86</v>
      </c>
      <c r="DW12" s="202"/>
      <c r="DX12" s="202"/>
      <c r="DY12" s="202"/>
      <c r="DZ12" s="202"/>
      <c r="EA12" s="202"/>
      <c r="EB12" s="202"/>
      <c r="EC12" s="202"/>
      <c r="ED12" s="202"/>
      <c r="EE12" s="202"/>
      <c r="EF12" s="202"/>
      <c r="EG12" s="202"/>
      <c r="EH12" s="202"/>
      <c r="EI12" s="202"/>
      <c r="EJ12" s="202"/>
      <c r="EK12" s="202"/>
      <c r="EL12" s="202"/>
      <c r="EM12" s="202"/>
      <c r="EN12" s="202"/>
      <c r="EO12" s="202"/>
      <c r="EP12" s="202"/>
      <c r="EQ12" s="202"/>
      <c r="ER12" s="202"/>
      <c r="ES12" s="202"/>
      <c r="ET12" s="202"/>
      <c r="EU12" s="202"/>
      <c r="EV12" s="202"/>
      <c r="EW12" s="202"/>
      <c r="EX12" s="202"/>
      <c r="EY12" s="202"/>
      <c r="EZ12" s="202"/>
      <c r="FA12" s="202"/>
      <c r="FB12" s="202"/>
      <c r="FC12" s="202"/>
      <c r="FD12" s="202"/>
      <c r="FE12" s="202"/>
      <c r="FF12" s="202"/>
      <c r="FG12" s="202"/>
      <c r="FH12" s="202"/>
      <c r="FI12" s="202"/>
      <c r="FJ12" s="202"/>
      <c r="FK12" s="202"/>
      <c r="FL12" s="202"/>
      <c r="FM12" s="202"/>
      <c r="FN12" s="202"/>
      <c r="FO12" s="202"/>
      <c r="FP12" s="202"/>
      <c r="FQ12" s="202"/>
      <c r="FR12" s="202"/>
      <c r="FS12" s="202"/>
      <c r="FT12" s="202"/>
      <c r="FU12" s="202"/>
      <c r="FV12" s="202"/>
      <c r="FW12" s="202"/>
      <c r="FX12" s="202"/>
      <c r="FY12" s="202"/>
      <c r="FZ12" s="202"/>
      <c r="GA12" s="202"/>
      <c r="GB12" s="202"/>
      <c r="GC12" s="202"/>
      <c r="GD12" s="202" t="s">
        <v>91</v>
      </c>
      <c r="GE12" s="202"/>
      <c r="GF12" s="202"/>
      <c r="GG12" s="202"/>
      <c r="GH12" s="202"/>
      <c r="GI12" s="202"/>
      <c r="GJ12" s="202"/>
      <c r="GK12" s="202"/>
      <c r="GL12" s="202"/>
      <c r="GM12" s="202"/>
      <c r="GN12" s="202"/>
      <c r="GO12" s="202"/>
      <c r="GP12" s="202"/>
      <c r="GQ12" s="202"/>
      <c r="GR12" s="202"/>
      <c r="GS12" s="202"/>
      <c r="GT12" s="202"/>
      <c r="GU12" s="202"/>
      <c r="GV12" s="202"/>
      <c r="GW12" s="202"/>
      <c r="GX12" s="202"/>
      <c r="GY12" s="202"/>
      <c r="GZ12" s="202"/>
      <c r="HA12" s="202"/>
      <c r="HB12" s="202"/>
      <c r="HC12" s="202"/>
      <c r="HD12" s="202"/>
      <c r="HE12" s="202"/>
      <c r="HF12" s="202"/>
      <c r="HG12" s="202"/>
      <c r="HH12" s="202"/>
      <c r="HI12" s="202"/>
      <c r="HJ12" s="202"/>
      <c r="HK12" s="202"/>
      <c r="HL12" s="202"/>
      <c r="HM12" s="202"/>
      <c r="HN12" s="202"/>
      <c r="HO12" s="202"/>
      <c r="HP12" s="202"/>
      <c r="HQ12" s="202"/>
      <c r="HR12" s="202"/>
      <c r="HS12" s="202"/>
      <c r="HT12" s="202"/>
      <c r="HU12" s="202"/>
      <c r="HV12" s="202"/>
      <c r="HW12" s="202"/>
      <c r="HX12" s="202"/>
      <c r="HY12" s="202"/>
      <c r="HZ12" s="202"/>
      <c r="IA12" s="202"/>
      <c r="IB12" s="202"/>
      <c r="IC12" s="202"/>
      <c r="ID12" s="202"/>
      <c r="IE12" s="202"/>
      <c r="IF12" s="202"/>
      <c r="IG12" s="202"/>
      <c r="IH12" s="202"/>
      <c r="II12" s="202"/>
      <c r="IJ12" s="202"/>
      <c r="IK12" s="202"/>
      <c r="IL12" s="202" t="s">
        <v>86</v>
      </c>
      <c r="IM12" s="202"/>
      <c r="IN12" s="202"/>
      <c r="IO12" s="202"/>
      <c r="IP12" s="202"/>
      <c r="IQ12" s="202"/>
      <c r="IR12" s="202"/>
      <c r="IS12" s="202"/>
      <c r="IT12" s="202"/>
      <c r="IU12" s="202"/>
      <c r="IV12" s="202"/>
      <c r="IW12" s="202"/>
      <c r="IX12" s="202"/>
      <c r="IY12" s="202"/>
      <c r="IZ12" s="202"/>
      <c r="JA12" s="202"/>
      <c r="JB12" s="202"/>
      <c r="JC12" s="202"/>
      <c r="JD12" s="202"/>
      <c r="JE12" s="202"/>
      <c r="JF12" s="202"/>
      <c r="JG12" s="202"/>
      <c r="JH12" s="202"/>
      <c r="JI12" s="202"/>
      <c r="JJ12" s="202"/>
      <c r="JK12" s="202"/>
      <c r="JL12" s="202"/>
      <c r="JM12" s="202"/>
      <c r="JN12" s="202"/>
      <c r="JO12" s="202"/>
      <c r="JP12" s="202"/>
      <c r="JQ12" s="202"/>
      <c r="JR12" s="202"/>
      <c r="JS12" s="202"/>
      <c r="JT12" s="202"/>
      <c r="JU12" s="202"/>
      <c r="JV12" s="202"/>
      <c r="JW12" s="202"/>
      <c r="JX12" s="202"/>
      <c r="JY12" s="202"/>
      <c r="JZ12" s="202"/>
      <c r="KA12" s="202"/>
      <c r="KB12" s="202"/>
      <c r="KC12" s="202"/>
      <c r="KD12" s="202"/>
      <c r="KE12" s="202"/>
      <c r="KF12" s="202"/>
      <c r="KG12" s="202"/>
      <c r="KH12" s="202"/>
      <c r="KI12" s="202"/>
      <c r="KJ12" s="202"/>
      <c r="KK12" s="202"/>
      <c r="KL12" s="202"/>
      <c r="KM12" s="202"/>
      <c r="KN12" s="202"/>
      <c r="KO12" s="202"/>
      <c r="KP12" s="202"/>
      <c r="KQ12" s="202"/>
      <c r="KR12" s="202"/>
      <c r="KS12" s="202"/>
      <c r="KT12" s="202" t="s">
        <v>91</v>
      </c>
      <c r="KU12" s="202"/>
      <c r="KV12" s="202"/>
      <c r="KW12" s="202"/>
      <c r="KX12" s="202"/>
      <c r="KY12" s="202"/>
      <c r="KZ12" s="202"/>
      <c r="LA12" s="202"/>
      <c r="LB12" s="202"/>
      <c r="LC12" s="202"/>
      <c r="LD12" s="202"/>
      <c r="LE12" s="202"/>
      <c r="LF12" s="202"/>
      <c r="LG12" s="202"/>
      <c r="LH12" s="202"/>
      <c r="LI12" s="202"/>
      <c r="LJ12" s="202"/>
      <c r="LK12" s="202"/>
      <c r="LL12" s="202"/>
      <c r="LM12" s="202"/>
      <c r="LN12" s="202"/>
      <c r="LO12" s="202"/>
      <c r="LP12" s="202"/>
      <c r="LQ12" s="202"/>
      <c r="LR12" s="202"/>
      <c r="LS12" s="202"/>
      <c r="LT12" s="202"/>
      <c r="LU12" s="202"/>
      <c r="LV12" s="202"/>
      <c r="LW12" s="202"/>
      <c r="LX12" s="202"/>
      <c r="LY12" s="202"/>
      <c r="LZ12" s="202"/>
      <c r="MA12" s="202"/>
      <c r="MB12" s="202"/>
      <c r="MC12" s="202"/>
      <c r="MD12" s="202"/>
      <c r="ME12" s="202"/>
      <c r="MF12" s="202"/>
      <c r="MG12" s="202"/>
      <c r="MH12" s="202"/>
      <c r="MI12" s="202"/>
      <c r="MJ12" s="202"/>
      <c r="MK12" s="202"/>
      <c r="ML12" s="202"/>
      <c r="MM12" s="202"/>
      <c r="MN12" s="202"/>
      <c r="MO12" s="202"/>
      <c r="MP12" s="202"/>
      <c r="MQ12" s="202"/>
      <c r="MR12" s="202"/>
      <c r="MS12" s="202"/>
      <c r="MT12" s="202"/>
      <c r="MU12" s="202"/>
      <c r="MV12" s="202"/>
      <c r="MW12" s="202"/>
      <c r="MX12" s="202"/>
      <c r="MY12" s="202"/>
      <c r="MZ12" s="202"/>
      <c r="NA12" s="202"/>
      <c r="NB12" s="202" t="s">
        <v>74</v>
      </c>
      <c r="NC12" s="202"/>
      <c r="ND12" s="202"/>
      <c r="NE12" s="202"/>
      <c r="NF12" s="202"/>
      <c r="NG12" s="202"/>
      <c r="NH12" s="202"/>
      <c r="NI12" s="202"/>
      <c r="NJ12" s="202"/>
      <c r="NK12" s="202"/>
      <c r="NL12" s="202"/>
      <c r="NM12" s="202"/>
      <c r="NN12" s="202"/>
      <c r="NO12" s="202"/>
      <c r="NP12" s="202"/>
      <c r="NQ12" s="202"/>
      <c r="NR12" s="202"/>
      <c r="NS12" s="202"/>
      <c r="NT12" s="202"/>
      <c r="NU12" s="202"/>
      <c r="NV12" s="202"/>
      <c r="NW12" s="202"/>
      <c r="NX12" s="202"/>
      <c r="NY12" s="202"/>
      <c r="NZ12" s="202"/>
      <c r="OA12" s="202"/>
      <c r="OB12" s="202"/>
      <c r="OC12" s="202"/>
      <c r="OD12" s="202"/>
      <c r="OE12" s="202"/>
      <c r="OF12" s="202"/>
      <c r="OG12" s="202"/>
      <c r="OH12" s="202"/>
      <c r="OI12" s="202"/>
      <c r="OJ12" s="202"/>
      <c r="OK12" s="202"/>
      <c r="OL12" s="202"/>
      <c r="OM12" s="202"/>
      <c r="ON12" s="202"/>
      <c r="OO12" s="202"/>
      <c r="OP12" s="202"/>
      <c r="OQ12" s="202"/>
      <c r="OR12" s="202"/>
      <c r="OS12" s="202"/>
      <c r="OT12" s="202"/>
      <c r="OU12" s="202"/>
      <c r="OV12" s="202"/>
      <c r="OW12" s="202"/>
      <c r="OX12" s="202"/>
      <c r="OY12" s="202"/>
      <c r="OZ12" s="202"/>
      <c r="PA12" s="202"/>
      <c r="PB12" s="202"/>
      <c r="PC12" s="202"/>
      <c r="PD12" s="202"/>
      <c r="PE12" s="202"/>
      <c r="PF12" s="202"/>
      <c r="PG12" s="202"/>
      <c r="PH12" s="202"/>
      <c r="PI12" s="202"/>
      <c r="PJ12" s="202" t="s">
        <v>74</v>
      </c>
      <c r="PK12" s="202"/>
      <c r="PL12" s="202"/>
      <c r="PM12" s="202"/>
      <c r="PN12" s="202"/>
      <c r="PO12" s="202"/>
      <c r="PP12" s="202"/>
      <c r="PQ12" s="202"/>
      <c r="PR12" s="202"/>
      <c r="PS12" s="202"/>
      <c r="PT12" s="202"/>
      <c r="PU12" s="202"/>
      <c r="PV12" s="202"/>
      <c r="PW12" s="202"/>
      <c r="PX12" s="202"/>
      <c r="PY12" s="202"/>
      <c r="PZ12" s="202"/>
      <c r="QA12" s="202"/>
      <c r="QB12" s="202"/>
      <c r="QC12" s="202"/>
      <c r="QD12" s="202"/>
      <c r="QE12" s="202"/>
      <c r="QF12" s="202"/>
      <c r="QG12" s="202"/>
      <c r="QH12" s="202"/>
      <c r="QI12" s="202"/>
      <c r="QJ12" s="202"/>
      <c r="QK12" s="202"/>
      <c r="QL12" s="202"/>
      <c r="QM12" s="202"/>
      <c r="QN12" s="202"/>
      <c r="QO12" s="202"/>
      <c r="QP12" s="202"/>
      <c r="QQ12" s="202"/>
      <c r="QR12" s="202"/>
      <c r="QS12" s="202"/>
      <c r="QT12" s="202"/>
      <c r="QU12" s="202"/>
      <c r="QV12" s="202"/>
      <c r="QW12" s="202"/>
      <c r="QX12" s="202"/>
      <c r="QY12" s="202"/>
      <c r="QZ12" s="202"/>
      <c r="RA12" s="202"/>
      <c r="RB12" s="202"/>
      <c r="RC12" s="202"/>
      <c r="RD12" s="202"/>
      <c r="RE12" s="202"/>
      <c r="RF12" s="202"/>
      <c r="RG12" s="202"/>
      <c r="RH12" s="202"/>
      <c r="RI12" s="202"/>
      <c r="RJ12" s="202"/>
      <c r="RK12" s="202"/>
      <c r="RL12" s="202"/>
      <c r="RM12" s="202"/>
      <c r="RN12" s="202"/>
      <c r="RO12" s="202"/>
      <c r="RP12" s="202"/>
      <c r="RQ12" s="202"/>
      <c r="RR12" s="202" t="s">
        <v>75</v>
      </c>
      <c r="RS12" s="202"/>
      <c r="RT12" s="202"/>
      <c r="RU12" s="202"/>
      <c r="RV12" s="202"/>
      <c r="RW12" s="202"/>
      <c r="RX12" s="202"/>
      <c r="RY12" s="202"/>
      <c r="RZ12" s="202"/>
      <c r="SA12" s="202"/>
      <c r="SB12" s="202"/>
      <c r="SC12" s="202"/>
      <c r="SD12" s="202"/>
      <c r="SE12" s="202"/>
      <c r="SF12" s="202"/>
      <c r="SG12" s="202"/>
      <c r="SH12" s="202"/>
      <c r="SI12" s="202"/>
      <c r="SJ12" s="202"/>
      <c r="SK12" s="202"/>
      <c r="SL12" s="202"/>
      <c r="SM12" s="202"/>
      <c r="SN12" s="202"/>
      <c r="SO12" s="202"/>
      <c r="SP12" s="202"/>
      <c r="SQ12" s="202"/>
      <c r="SR12" s="202"/>
      <c r="SS12" s="202"/>
      <c r="ST12" s="202"/>
      <c r="SU12" s="202"/>
      <c r="SV12" s="202"/>
      <c r="SW12" s="202"/>
      <c r="SX12" s="202"/>
      <c r="SY12" s="202"/>
      <c r="SZ12" s="202"/>
      <c r="TA12" s="202"/>
      <c r="TB12" s="202"/>
      <c r="TC12" s="202"/>
      <c r="TD12" s="202"/>
      <c r="TE12" s="202"/>
      <c r="TF12" s="202"/>
      <c r="TG12" s="202"/>
      <c r="TH12" s="202"/>
      <c r="TI12" s="202"/>
      <c r="TJ12" s="202"/>
      <c r="TK12" s="202"/>
      <c r="TL12" s="202"/>
      <c r="TM12" s="202"/>
      <c r="TN12" s="202"/>
      <c r="TO12" s="202"/>
      <c r="TP12" s="202"/>
      <c r="TQ12" s="202"/>
      <c r="TR12" s="202"/>
      <c r="TS12" s="202"/>
      <c r="TT12" s="202"/>
      <c r="TU12" s="202"/>
      <c r="TV12" s="202"/>
      <c r="TW12" s="202"/>
      <c r="TX12" s="202"/>
      <c r="TY12" s="202"/>
      <c r="TZ12" s="202" t="s">
        <v>74</v>
      </c>
      <c r="UA12" s="202"/>
      <c r="UB12" s="202"/>
      <c r="UC12" s="202"/>
      <c r="UD12" s="202"/>
      <c r="UE12" s="202"/>
      <c r="UF12" s="202"/>
      <c r="UG12" s="202"/>
      <c r="UH12" s="202"/>
      <c r="UI12" s="202"/>
      <c r="UJ12" s="202"/>
      <c r="UK12" s="202"/>
      <c r="UL12" s="202"/>
      <c r="UM12" s="202"/>
      <c r="UN12" s="202"/>
      <c r="UO12" s="202"/>
      <c r="UP12" s="202"/>
      <c r="UQ12" s="202"/>
      <c r="UR12" s="202"/>
      <c r="US12" s="202"/>
      <c r="UT12" s="202"/>
      <c r="UU12" s="202"/>
      <c r="UV12" s="202"/>
      <c r="UW12" s="202"/>
      <c r="UX12" s="202"/>
      <c r="UY12" s="202"/>
      <c r="UZ12" s="202"/>
      <c r="VA12" s="202"/>
      <c r="VB12" s="202"/>
      <c r="VC12" s="202"/>
      <c r="VD12" s="202"/>
      <c r="VE12" s="202"/>
      <c r="VF12" s="202"/>
      <c r="VG12" s="202"/>
      <c r="VH12" s="202"/>
      <c r="VI12" s="202"/>
      <c r="VJ12" s="202"/>
      <c r="VK12" s="202"/>
      <c r="VL12" s="202"/>
      <c r="VM12" s="202"/>
      <c r="VN12" s="202"/>
      <c r="VO12" s="202"/>
      <c r="VP12" s="202"/>
      <c r="VQ12" s="202"/>
      <c r="VR12" s="202"/>
      <c r="VS12" s="202"/>
      <c r="VT12" s="202"/>
      <c r="VU12" s="202"/>
      <c r="VV12" s="202"/>
      <c r="VW12" s="202"/>
      <c r="VX12" s="202"/>
      <c r="VY12" s="202"/>
      <c r="VZ12" s="202"/>
      <c r="WA12" s="202"/>
      <c r="WB12" s="202"/>
      <c r="WC12" s="202"/>
      <c r="WD12" s="202"/>
      <c r="WE12" s="202"/>
      <c r="WF12" s="202"/>
      <c r="WG12" s="202"/>
      <c r="WH12" s="202" t="s">
        <v>75</v>
      </c>
      <c r="WI12" s="202"/>
      <c r="WJ12" s="202"/>
      <c r="WK12" s="202"/>
      <c r="WL12" s="202"/>
      <c r="WM12" s="202"/>
      <c r="WN12" s="202"/>
      <c r="WO12" s="202"/>
      <c r="WP12" s="202"/>
      <c r="WQ12" s="202"/>
      <c r="WR12" s="202"/>
      <c r="WS12" s="202"/>
      <c r="WT12" s="202"/>
      <c r="WU12" s="202"/>
      <c r="WV12" s="202"/>
      <c r="WW12" s="202"/>
      <c r="WX12" s="202"/>
      <c r="WY12" s="202"/>
      <c r="WZ12" s="202"/>
      <c r="XA12" s="202"/>
      <c r="XB12" s="202"/>
      <c r="XC12" s="202"/>
      <c r="XD12" s="202"/>
      <c r="XE12" s="202"/>
      <c r="XF12" s="202"/>
      <c r="XG12" s="202"/>
      <c r="XH12" s="202"/>
      <c r="XI12" s="202"/>
      <c r="XJ12" s="202"/>
      <c r="XK12" s="202"/>
      <c r="XL12" s="202"/>
      <c r="XM12" s="202"/>
      <c r="XN12" s="202"/>
      <c r="XO12" s="202"/>
      <c r="XP12" s="202"/>
      <c r="XQ12" s="202"/>
      <c r="XR12" s="202"/>
      <c r="XS12" s="202"/>
      <c r="XT12" s="202"/>
      <c r="XU12" s="202"/>
      <c r="XV12" s="202"/>
      <c r="XW12" s="202"/>
      <c r="XX12" s="202"/>
      <c r="XY12" s="202"/>
      <c r="XZ12" s="202"/>
      <c r="YA12" s="202"/>
      <c r="YB12" s="202"/>
      <c r="YC12" s="202"/>
      <c r="YD12" s="202"/>
      <c r="YE12" s="202"/>
      <c r="YF12" s="202"/>
      <c r="YG12" s="202"/>
      <c r="YH12" s="202"/>
      <c r="YI12" s="202"/>
      <c r="YJ12" s="202"/>
      <c r="YK12" s="202"/>
      <c r="YL12" s="202"/>
      <c r="YM12" s="202"/>
      <c r="YN12" s="202"/>
      <c r="YO12" s="202"/>
      <c r="YP12" s="202" t="s">
        <v>74</v>
      </c>
      <c r="YQ12" s="202"/>
      <c r="YR12" s="202"/>
      <c r="YS12" s="202"/>
      <c r="YT12" s="202"/>
      <c r="YU12" s="202"/>
      <c r="YV12" s="202"/>
      <c r="YW12" s="202"/>
      <c r="YX12" s="202"/>
      <c r="YY12" s="202"/>
      <c r="YZ12" s="202"/>
      <c r="ZA12" s="202"/>
      <c r="ZB12" s="202"/>
      <c r="ZC12" s="202"/>
      <c r="ZD12" s="202"/>
      <c r="ZE12" s="202"/>
      <c r="ZF12" s="202"/>
      <c r="ZG12" s="202"/>
      <c r="ZH12" s="202"/>
      <c r="ZI12" s="202"/>
      <c r="ZJ12" s="202"/>
      <c r="ZK12" s="202"/>
      <c r="ZL12" s="202"/>
      <c r="ZM12" s="202"/>
      <c r="ZN12" s="202"/>
      <c r="ZO12" s="202"/>
      <c r="ZP12" s="202"/>
      <c r="ZQ12" s="202"/>
      <c r="ZR12" s="202"/>
      <c r="ZS12" s="202"/>
      <c r="ZT12" s="202"/>
      <c r="ZU12" s="202"/>
      <c r="ZV12" s="202"/>
      <c r="ZW12" s="202"/>
      <c r="ZX12" s="202"/>
      <c r="ZY12" s="202"/>
      <c r="ZZ12" s="202"/>
      <c r="AAA12" s="202"/>
      <c r="AAB12" s="202"/>
      <c r="AAC12" s="202"/>
      <c r="AAD12" s="202"/>
      <c r="AAE12" s="202"/>
      <c r="AAF12" s="202"/>
      <c r="AAG12" s="202"/>
      <c r="AAH12" s="202"/>
      <c r="AAI12" s="202"/>
      <c r="AAJ12" s="202"/>
      <c r="AAK12" s="202"/>
      <c r="AAL12" s="202"/>
      <c r="AAM12" s="202"/>
      <c r="AAN12" s="202"/>
      <c r="AAO12" s="202"/>
      <c r="AAP12" s="202"/>
      <c r="AAQ12" s="202"/>
      <c r="AAR12" s="202"/>
      <c r="AAS12" s="202"/>
      <c r="AAT12" s="202"/>
      <c r="AAU12" s="202"/>
      <c r="AAV12" s="202"/>
      <c r="AAW12" s="202"/>
      <c r="AAX12" s="202" t="s">
        <v>75</v>
      </c>
      <c r="AAY12" s="202"/>
      <c r="AAZ12" s="202"/>
      <c r="ABA12" s="202"/>
      <c r="ABB12" s="202"/>
      <c r="ABC12" s="202"/>
      <c r="ABD12" s="202"/>
      <c r="ABE12" s="202"/>
      <c r="ABF12" s="202"/>
      <c r="ABG12" s="202"/>
      <c r="ABH12" s="202"/>
      <c r="ABI12" s="202"/>
      <c r="ABJ12" s="202"/>
      <c r="ABK12" s="202"/>
      <c r="ABL12" s="202"/>
      <c r="ABM12" s="202"/>
      <c r="ABN12" s="202"/>
      <c r="ABO12" s="202"/>
      <c r="ABP12" s="202"/>
      <c r="ABQ12" s="202"/>
      <c r="ABR12" s="202"/>
      <c r="ABS12" s="202"/>
      <c r="ABT12" s="202"/>
      <c r="ABU12" s="202"/>
      <c r="ABV12" s="202"/>
      <c r="ABW12" s="202"/>
      <c r="ABX12" s="202"/>
      <c r="ABY12" s="202"/>
      <c r="ABZ12" s="202"/>
      <c r="ACA12" s="202"/>
      <c r="ACB12" s="202"/>
      <c r="ACC12" s="202"/>
      <c r="ACD12" s="202"/>
      <c r="ACE12" s="202"/>
      <c r="ACF12" s="202"/>
      <c r="ACG12" s="202"/>
      <c r="ACH12" s="202"/>
      <c r="ACI12" s="202"/>
      <c r="ACJ12" s="202"/>
      <c r="ACK12" s="202"/>
      <c r="ACL12" s="202"/>
      <c r="ACM12" s="202"/>
      <c r="ACN12" s="202"/>
      <c r="ACO12" s="202"/>
      <c r="ACP12" s="202"/>
      <c r="ACQ12" s="202"/>
      <c r="ACR12" s="202"/>
      <c r="ACS12" s="202"/>
      <c r="ACT12" s="202"/>
      <c r="ACU12" s="202"/>
      <c r="ACV12" s="202"/>
      <c r="ACW12" s="202"/>
      <c r="ACX12" s="202"/>
      <c r="ACY12" s="202"/>
      <c r="ACZ12" s="202"/>
      <c r="ADA12" s="202"/>
      <c r="ADB12" s="202"/>
      <c r="ADC12" s="202"/>
      <c r="ADD12" s="202"/>
      <c r="ADE12" s="202"/>
      <c r="ADF12" s="202" t="s">
        <v>74</v>
      </c>
      <c r="ADG12" s="202"/>
      <c r="ADH12" s="202"/>
      <c r="ADI12" s="202"/>
      <c r="ADJ12" s="202"/>
      <c r="ADK12" s="202"/>
      <c r="ADL12" s="202"/>
      <c r="ADM12" s="202"/>
      <c r="ADN12" s="202"/>
      <c r="ADO12" s="202"/>
      <c r="ADP12" s="202"/>
      <c r="ADQ12" s="202"/>
      <c r="ADR12" s="202"/>
      <c r="ADS12" s="202"/>
      <c r="ADT12" s="202"/>
      <c r="ADU12" s="202"/>
      <c r="ADV12" s="202"/>
      <c r="ADW12" s="202"/>
      <c r="ADX12" s="202"/>
      <c r="ADY12" s="202"/>
      <c r="ADZ12" s="202"/>
      <c r="AEA12" s="202"/>
      <c r="AEB12" s="202"/>
      <c r="AEC12" s="202"/>
      <c r="AED12" s="202"/>
      <c r="AEE12" s="202"/>
      <c r="AEF12" s="202"/>
      <c r="AEG12" s="202"/>
      <c r="AEH12" s="202"/>
      <c r="AEI12" s="202"/>
      <c r="AEJ12" s="202"/>
      <c r="AEK12" s="202"/>
      <c r="AEL12" s="202"/>
      <c r="AEM12" s="202"/>
      <c r="AEN12" s="202"/>
      <c r="AEO12" s="202"/>
      <c r="AEP12" s="202"/>
      <c r="AEQ12" s="202"/>
      <c r="AER12" s="202"/>
      <c r="AES12" s="202"/>
      <c r="AET12" s="202"/>
      <c r="AEU12" s="202"/>
      <c r="AEV12" s="202"/>
      <c r="AEW12" s="202"/>
      <c r="AEX12" s="202"/>
      <c r="AEY12" s="202"/>
      <c r="AEZ12" s="202"/>
      <c r="AFA12" s="202"/>
      <c r="AFB12" s="202"/>
      <c r="AFC12" s="202"/>
      <c r="AFD12" s="202"/>
      <c r="AFE12" s="202"/>
      <c r="AFF12" s="202"/>
      <c r="AFG12" s="202"/>
      <c r="AFH12" s="202"/>
      <c r="AFI12" s="202"/>
      <c r="AFJ12" s="202"/>
      <c r="AFK12" s="202"/>
      <c r="AFL12" s="202"/>
      <c r="AFM12" s="202"/>
      <c r="AFN12" s="202" t="s">
        <v>74</v>
      </c>
      <c r="AFO12" s="202"/>
      <c r="AFP12" s="202"/>
      <c r="AFQ12" s="202"/>
      <c r="AFR12" s="202"/>
      <c r="AFS12" s="202"/>
      <c r="AFT12" s="202"/>
      <c r="AFU12" s="202"/>
      <c r="AFV12" s="202"/>
      <c r="AFW12" s="202"/>
      <c r="AFX12" s="202"/>
      <c r="AFY12" s="202"/>
      <c r="AFZ12" s="202"/>
      <c r="AGA12" s="202"/>
      <c r="AGB12" s="202"/>
      <c r="AGC12" s="202"/>
      <c r="AGD12" s="202"/>
      <c r="AGE12" s="202"/>
      <c r="AGF12" s="202"/>
      <c r="AGG12" s="202"/>
      <c r="AGH12" s="202"/>
      <c r="AGI12" s="202"/>
      <c r="AGJ12" s="202"/>
      <c r="AGK12" s="202"/>
      <c r="AGL12" s="202"/>
      <c r="AGM12" s="202"/>
      <c r="AGN12" s="202"/>
      <c r="AGO12" s="202"/>
      <c r="AGP12" s="202"/>
      <c r="AGQ12" s="202"/>
      <c r="AGR12" s="202"/>
      <c r="AGS12" s="202"/>
      <c r="AGT12" s="202"/>
      <c r="AGU12" s="202"/>
      <c r="AGV12" s="202"/>
      <c r="AGW12" s="202"/>
      <c r="AGX12" s="202"/>
      <c r="AGY12" s="202"/>
      <c r="AGZ12" s="202"/>
      <c r="AHA12" s="202"/>
      <c r="AHB12" s="202"/>
      <c r="AHC12" s="202"/>
      <c r="AHD12" s="202"/>
      <c r="AHE12" s="202"/>
      <c r="AHF12" s="202"/>
      <c r="AHG12" s="202"/>
      <c r="AHH12" s="202"/>
      <c r="AHI12" s="202"/>
      <c r="AHJ12" s="202"/>
      <c r="AHK12" s="202"/>
      <c r="AHL12" s="202"/>
      <c r="AHM12" s="202"/>
      <c r="AHN12" s="202"/>
      <c r="AHO12" s="202"/>
      <c r="AHP12" s="202"/>
      <c r="AHQ12" s="202"/>
      <c r="AHR12" s="202"/>
      <c r="AHS12" s="202"/>
      <c r="AHT12" s="202"/>
      <c r="AHU12" s="202"/>
      <c r="AHV12" s="202" t="s">
        <v>75</v>
      </c>
      <c r="AHW12" s="202"/>
      <c r="AHX12" s="202"/>
      <c r="AHY12" s="202"/>
      <c r="AHZ12" s="202"/>
      <c r="AIA12" s="202"/>
      <c r="AIB12" s="202"/>
      <c r="AIC12" s="202"/>
      <c r="AID12" s="202"/>
      <c r="AIE12" s="202"/>
      <c r="AIF12" s="202"/>
      <c r="AIG12" s="202"/>
      <c r="AIH12" s="202"/>
      <c r="AII12" s="202"/>
      <c r="AIJ12" s="202"/>
      <c r="AIK12" s="202"/>
      <c r="AIL12" s="202"/>
      <c r="AIM12" s="202"/>
      <c r="AIN12" s="202"/>
      <c r="AIO12" s="202"/>
      <c r="AIP12" s="202"/>
      <c r="AIQ12" s="202"/>
      <c r="AIR12" s="202"/>
      <c r="AIS12" s="202"/>
      <c r="AIT12" s="202"/>
      <c r="AIU12" s="202"/>
      <c r="AIV12" s="202"/>
      <c r="AIW12" s="202"/>
      <c r="AIX12" s="202"/>
      <c r="AIY12" s="202"/>
      <c r="AIZ12" s="202"/>
      <c r="AJA12" s="202"/>
      <c r="AJB12" s="202"/>
      <c r="AJC12" s="202"/>
      <c r="AJD12" s="202"/>
      <c r="AJE12" s="202"/>
      <c r="AJF12" s="202"/>
      <c r="AJG12" s="202"/>
      <c r="AJH12" s="202"/>
      <c r="AJI12" s="202"/>
      <c r="AJJ12" s="202"/>
      <c r="AJK12" s="202"/>
      <c r="AJL12" s="202"/>
      <c r="AJM12" s="202"/>
      <c r="AJN12" s="202"/>
      <c r="AJO12" s="202"/>
      <c r="AJP12" s="202"/>
      <c r="AJQ12" s="202"/>
      <c r="AJR12" s="202"/>
      <c r="AJS12" s="202"/>
      <c r="AJT12" s="202"/>
      <c r="AJU12" s="202"/>
      <c r="AJV12" s="202"/>
      <c r="AJW12" s="202"/>
      <c r="AJX12" s="202"/>
      <c r="AJY12" s="202"/>
      <c r="AJZ12" s="202"/>
      <c r="AKA12" s="202"/>
      <c r="AKB12" s="202"/>
      <c r="AKC12" s="202"/>
      <c r="AKD12" s="202" t="s">
        <v>74</v>
      </c>
      <c r="AKE12" s="202"/>
      <c r="AKF12" s="202"/>
      <c r="AKG12" s="202"/>
      <c r="AKH12" s="202"/>
      <c r="AKI12" s="202"/>
      <c r="AKJ12" s="202"/>
      <c r="AKK12" s="202"/>
      <c r="AKL12" s="202"/>
      <c r="AKM12" s="202"/>
      <c r="AKN12" s="202"/>
      <c r="AKO12" s="202"/>
      <c r="AKP12" s="202"/>
      <c r="AKQ12" s="202"/>
      <c r="AKR12" s="202"/>
      <c r="AKS12" s="202"/>
      <c r="AKT12" s="202"/>
      <c r="AKU12" s="202"/>
      <c r="AKV12" s="202"/>
      <c r="AKW12" s="202"/>
      <c r="AKX12" s="202"/>
      <c r="AKY12" s="202"/>
      <c r="AKZ12" s="202"/>
      <c r="ALA12" s="202"/>
      <c r="ALB12" s="202"/>
      <c r="ALC12" s="202"/>
      <c r="ALD12" s="202"/>
      <c r="ALE12" s="202"/>
      <c r="ALF12" s="202"/>
      <c r="ALG12" s="202"/>
      <c r="ALH12" s="202"/>
      <c r="ALI12" s="202"/>
      <c r="ALJ12" s="202"/>
      <c r="ALK12" s="202"/>
      <c r="ALL12" s="202"/>
      <c r="ALM12" s="202"/>
      <c r="ALN12" s="202"/>
      <c r="ALO12" s="202"/>
      <c r="ALP12" s="202"/>
      <c r="ALQ12" s="202"/>
      <c r="ALR12" s="202"/>
      <c r="ALS12" s="202"/>
      <c r="ALT12" s="202"/>
      <c r="ALU12" s="202"/>
      <c r="ALV12" s="202"/>
      <c r="ALW12" s="202"/>
      <c r="ALX12" s="202"/>
      <c r="ALY12" s="202"/>
      <c r="ALZ12" s="202"/>
      <c r="AMA12" s="202"/>
      <c r="AMB12" s="202"/>
      <c r="AMC12" s="202"/>
      <c r="AMD12" s="202"/>
      <c r="AME12" s="202"/>
      <c r="AMF12" s="202"/>
      <c r="AMG12" s="202"/>
      <c r="AMH12" s="202"/>
      <c r="AMI12" s="202"/>
      <c r="AMJ12" s="202"/>
      <c r="AMK12" s="202"/>
      <c r="AML12" s="202" t="s">
        <v>75</v>
      </c>
      <c r="AMM12" s="202"/>
      <c r="AMN12" s="202"/>
      <c r="AMO12" s="202"/>
      <c r="AMP12" s="202"/>
      <c r="AMQ12" s="202"/>
      <c r="AMR12" s="202"/>
      <c r="AMS12" s="202"/>
      <c r="AMT12" s="202"/>
      <c r="AMU12" s="202"/>
      <c r="AMV12" s="202"/>
      <c r="AMW12" s="202"/>
      <c r="AMX12" s="202"/>
      <c r="AMY12" s="202"/>
      <c r="AMZ12" s="202"/>
      <c r="ANA12" s="202"/>
      <c r="ANB12" s="202"/>
      <c r="ANC12" s="202"/>
      <c r="AND12" s="202"/>
      <c r="ANE12" s="202"/>
      <c r="ANF12" s="202"/>
      <c r="ANG12" s="202"/>
      <c r="ANH12" s="202"/>
      <c r="ANI12" s="202"/>
      <c r="ANJ12" s="202"/>
      <c r="ANK12" s="202"/>
      <c r="ANL12" s="202"/>
      <c r="ANM12" s="202"/>
      <c r="ANN12" s="202"/>
      <c r="ANO12" s="202"/>
      <c r="ANP12" s="202"/>
      <c r="ANQ12" s="202"/>
      <c r="ANR12" s="202"/>
      <c r="ANS12" s="202"/>
      <c r="ANT12" s="202"/>
      <c r="ANU12" s="202"/>
      <c r="ANV12" s="202"/>
      <c r="ANW12" s="202"/>
      <c r="ANX12" s="202"/>
      <c r="ANY12" s="202"/>
      <c r="ANZ12" s="202"/>
      <c r="AOA12" s="202"/>
      <c r="AOB12" s="202"/>
      <c r="AOC12" s="202"/>
      <c r="AOD12" s="202"/>
      <c r="AOE12" s="202"/>
      <c r="AOF12" s="202"/>
      <c r="AOG12" s="202"/>
      <c r="AOH12" s="202"/>
      <c r="AOI12" s="202"/>
      <c r="AOJ12" s="202"/>
      <c r="AOK12" s="202"/>
      <c r="AOL12" s="202"/>
      <c r="AOM12" s="202"/>
      <c r="AON12" s="202"/>
      <c r="AOO12" s="202"/>
      <c r="AOP12" s="202"/>
      <c r="AOQ12" s="202"/>
      <c r="AOR12" s="202"/>
      <c r="AOS12" s="202"/>
      <c r="AOT12" s="89" t="s">
        <v>74</v>
      </c>
      <c r="ARB12" s="3" t="s">
        <v>75</v>
      </c>
    </row>
    <row r="13" spans="1:1146" ht="42.75" customHeight="1" thickBot="1">
      <c r="B13" s="95"/>
      <c r="C13" s="228" t="s">
        <v>6</v>
      </c>
      <c r="D13" s="143"/>
      <c r="E13" s="230" t="s">
        <v>37</v>
      </c>
      <c r="F13" s="203" t="s">
        <v>7</v>
      </c>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c r="BH13" s="204"/>
      <c r="BI13" s="204"/>
      <c r="BJ13" s="204"/>
      <c r="BK13" s="204"/>
      <c r="BL13" s="204"/>
      <c r="BM13" s="205"/>
      <c r="BN13" s="203" t="s">
        <v>26</v>
      </c>
      <c r="BO13" s="204"/>
      <c r="BP13" s="204"/>
      <c r="BQ13" s="204"/>
      <c r="BR13" s="204"/>
      <c r="BS13" s="204"/>
      <c r="BT13" s="204"/>
      <c r="BU13" s="204"/>
      <c r="BV13" s="204"/>
      <c r="BW13" s="204"/>
      <c r="BX13" s="204"/>
      <c r="BY13" s="204"/>
      <c r="BZ13" s="204"/>
      <c r="CA13" s="204"/>
      <c r="CB13" s="204"/>
      <c r="CC13" s="204"/>
      <c r="CD13" s="204"/>
      <c r="CE13" s="204"/>
      <c r="CF13" s="204"/>
      <c r="CG13" s="204"/>
      <c r="CH13" s="204"/>
      <c r="CI13" s="204"/>
      <c r="CJ13" s="204"/>
      <c r="CK13" s="204"/>
      <c r="CL13" s="204"/>
      <c r="CM13" s="204"/>
      <c r="CN13" s="204"/>
      <c r="CO13" s="204"/>
      <c r="CP13" s="204"/>
      <c r="CQ13" s="204"/>
      <c r="CR13" s="204"/>
      <c r="CS13" s="204"/>
      <c r="CT13" s="204"/>
      <c r="CU13" s="204"/>
      <c r="CV13" s="204"/>
      <c r="CW13" s="204"/>
      <c r="CX13" s="204"/>
      <c r="CY13" s="204"/>
      <c r="CZ13" s="204"/>
      <c r="DA13" s="204"/>
      <c r="DB13" s="204"/>
      <c r="DC13" s="204"/>
      <c r="DD13" s="204"/>
      <c r="DE13" s="204"/>
      <c r="DF13" s="204"/>
      <c r="DG13" s="204"/>
      <c r="DH13" s="204"/>
      <c r="DI13" s="204"/>
      <c r="DJ13" s="204"/>
      <c r="DK13" s="204"/>
      <c r="DL13" s="204"/>
      <c r="DM13" s="204"/>
      <c r="DN13" s="204"/>
      <c r="DO13" s="204"/>
      <c r="DP13" s="204"/>
      <c r="DQ13" s="204"/>
      <c r="DR13" s="204"/>
      <c r="DS13" s="204"/>
      <c r="DT13" s="204"/>
      <c r="DU13" s="205"/>
      <c r="DV13" s="203" t="s">
        <v>17</v>
      </c>
      <c r="DW13" s="204"/>
      <c r="DX13" s="204"/>
      <c r="DY13" s="204"/>
      <c r="DZ13" s="204"/>
      <c r="EA13" s="204"/>
      <c r="EB13" s="204"/>
      <c r="EC13" s="204"/>
      <c r="ED13" s="204"/>
      <c r="EE13" s="204"/>
      <c r="EF13" s="204"/>
      <c r="EG13" s="204"/>
      <c r="EH13" s="204"/>
      <c r="EI13" s="204"/>
      <c r="EJ13" s="204"/>
      <c r="EK13" s="204"/>
      <c r="EL13" s="204"/>
      <c r="EM13" s="204"/>
      <c r="EN13" s="204"/>
      <c r="EO13" s="204"/>
      <c r="EP13" s="204"/>
      <c r="EQ13" s="204"/>
      <c r="ER13" s="204"/>
      <c r="ES13" s="204"/>
      <c r="ET13" s="204"/>
      <c r="EU13" s="204"/>
      <c r="EV13" s="204"/>
      <c r="EW13" s="204"/>
      <c r="EX13" s="204"/>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c r="GC13" s="205"/>
      <c r="GD13" s="203" t="s">
        <v>43</v>
      </c>
      <c r="GE13" s="204"/>
      <c r="GF13" s="204"/>
      <c r="GG13" s="204"/>
      <c r="GH13" s="204"/>
      <c r="GI13" s="204"/>
      <c r="GJ13" s="204"/>
      <c r="GK13" s="204"/>
      <c r="GL13" s="204"/>
      <c r="GM13" s="204"/>
      <c r="GN13" s="204"/>
      <c r="GO13" s="204"/>
      <c r="GP13" s="204"/>
      <c r="GQ13" s="204"/>
      <c r="GR13" s="204"/>
      <c r="GS13" s="204"/>
      <c r="GT13" s="204"/>
      <c r="GU13" s="204"/>
      <c r="GV13" s="204"/>
      <c r="GW13" s="204"/>
      <c r="GX13" s="204"/>
      <c r="GY13" s="204"/>
      <c r="GZ13" s="204"/>
      <c r="HA13" s="204"/>
      <c r="HB13" s="204"/>
      <c r="HC13" s="204"/>
      <c r="HD13" s="204"/>
      <c r="HE13" s="204"/>
      <c r="HF13" s="204"/>
      <c r="HG13" s="204"/>
      <c r="HH13" s="204"/>
      <c r="HI13" s="204"/>
      <c r="HJ13" s="204"/>
      <c r="HK13" s="204"/>
      <c r="HL13" s="204"/>
      <c r="HM13" s="204"/>
      <c r="HN13" s="204"/>
      <c r="HO13" s="204"/>
      <c r="HP13" s="204"/>
      <c r="HQ13" s="204"/>
      <c r="HR13" s="204"/>
      <c r="HS13" s="204"/>
      <c r="HT13" s="204"/>
      <c r="HU13" s="204"/>
      <c r="HV13" s="204"/>
      <c r="HW13" s="204"/>
      <c r="HX13" s="204"/>
      <c r="HY13" s="204"/>
      <c r="HZ13" s="204"/>
      <c r="IA13" s="204"/>
      <c r="IB13" s="204"/>
      <c r="IC13" s="204"/>
      <c r="ID13" s="204"/>
      <c r="IE13" s="204"/>
      <c r="IF13" s="204"/>
      <c r="IG13" s="204"/>
      <c r="IH13" s="204"/>
      <c r="II13" s="204"/>
      <c r="IJ13" s="204"/>
      <c r="IK13" s="205"/>
      <c r="IL13" s="203" t="s">
        <v>42</v>
      </c>
      <c r="IM13" s="204"/>
      <c r="IN13" s="204"/>
      <c r="IO13" s="204"/>
      <c r="IP13" s="204"/>
      <c r="IQ13" s="204"/>
      <c r="IR13" s="204"/>
      <c r="IS13" s="204"/>
      <c r="IT13" s="204"/>
      <c r="IU13" s="204"/>
      <c r="IV13" s="204"/>
      <c r="IW13" s="204"/>
      <c r="IX13" s="204"/>
      <c r="IY13" s="204"/>
      <c r="IZ13" s="204"/>
      <c r="JA13" s="204"/>
      <c r="JB13" s="204"/>
      <c r="JC13" s="204"/>
      <c r="JD13" s="204"/>
      <c r="JE13" s="204"/>
      <c r="JF13" s="204"/>
      <c r="JG13" s="204"/>
      <c r="JH13" s="204"/>
      <c r="JI13" s="204"/>
      <c r="JJ13" s="204"/>
      <c r="JK13" s="204"/>
      <c r="JL13" s="204"/>
      <c r="JM13" s="204"/>
      <c r="JN13" s="204"/>
      <c r="JO13" s="204"/>
      <c r="JP13" s="204"/>
      <c r="JQ13" s="204"/>
      <c r="JR13" s="204"/>
      <c r="JS13" s="204"/>
      <c r="JT13" s="204"/>
      <c r="JU13" s="204"/>
      <c r="JV13" s="204"/>
      <c r="JW13" s="204"/>
      <c r="JX13" s="204"/>
      <c r="JY13" s="204"/>
      <c r="JZ13" s="204"/>
      <c r="KA13" s="204"/>
      <c r="KB13" s="204"/>
      <c r="KC13" s="204"/>
      <c r="KD13" s="204"/>
      <c r="KE13" s="204"/>
      <c r="KF13" s="204"/>
      <c r="KG13" s="204"/>
      <c r="KH13" s="204"/>
      <c r="KI13" s="204"/>
      <c r="KJ13" s="204"/>
      <c r="KK13" s="204"/>
      <c r="KL13" s="204"/>
      <c r="KM13" s="204"/>
      <c r="KN13" s="204"/>
      <c r="KO13" s="204"/>
      <c r="KP13" s="204"/>
      <c r="KQ13" s="204"/>
      <c r="KR13" s="204"/>
      <c r="KS13" s="205"/>
      <c r="KT13" s="203" t="s">
        <v>41</v>
      </c>
      <c r="KU13" s="204"/>
      <c r="KV13" s="204"/>
      <c r="KW13" s="204"/>
      <c r="KX13" s="204"/>
      <c r="KY13" s="204"/>
      <c r="KZ13" s="204"/>
      <c r="LA13" s="204"/>
      <c r="LB13" s="204"/>
      <c r="LC13" s="204"/>
      <c r="LD13" s="204"/>
      <c r="LE13" s="204"/>
      <c r="LF13" s="204"/>
      <c r="LG13" s="204"/>
      <c r="LH13" s="204"/>
      <c r="LI13" s="204"/>
      <c r="LJ13" s="204"/>
      <c r="LK13" s="204"/>
      <c r="LL13" s="204"/>
      <c r="LM13" s="204"/>
      <c r="LN13" s="204"/>
      <c r="LO13" s="204"/>
      <c r="LP13" s="204"/>
      <c r="LQ13" s="204"/>
      <c r="LR13" s="204"/>
      <c r="LS13" s="204"/>
      <c r="LT13" s="204"/>
      <c r="LU13" s="204"/>
      <c r="LV13" s="204"/>
      <c r="LW13" s="204"/>
      <c r="LX13" s="204"/>
      <c r="LY13" s="204"/>
      <c r="LZ13" s="204"/>
      <c r="MA13" s="204"/>
      <c r="MB13" s="204"/>
      <c r="MC13" s="204"/>
      <c r="MD13" s="204"/>
      <c r="ME13" s="204"/>
      <c r="MF13" s="204"/>
      <c r="MG13" s="204"/>
      <c r="MH13" s="204"/>
      <c r="MI13" s="204"/>
      <c r="MJ13" s="204"/>
      <c r="MK13" s="204"/>
      <c r="ML13" s="204"/>
      <c r="MM13" s="204"/>
      <c r="MN13" s="204"/>
      <c r="MO13" s="204"/>
      <c r="MP13" s="204"/>
      <c r="MQ13" s="204"/>
      <c r="MR13" s="204"/>
      <c r="MS13" s="204"/>
      <c r="MT13" s="204"/>
      <c r="MU13" s="204"/>
      <c r="MV13" s="204"/>
      <c r="MW13" s="204"/>
      <c r="MX13" s="204"/>
      <c r="MY13" s="204"/>
      <c r="MZ13" s="204"/>
      <c r="NA13" s="205"/>
      <c r="NB13" s="203" t="s">
        <v>40</v>
      </c>
      <c r="NC13" s="204"/>
      <c r="ND13" s="204"/>
      <c r="NE13" s="204"/>
      <c r="NF13" s="204"/>
      <c r="NG13" s="204"/>
      <c r="NH13" s="204"/>
      <c r="NI13" s="204"/>
      <c r="NJ13" s="204"/>
      <c r="NK13" s="204"/>
      <c r="NL13" s="204"/>
      <c r="NM13" s="204"/>
      <c r="NN13" s="204"/>
      <c r="NO13" s="204"/>
      <c r="NP13" s="204"/>
      <c r="NQ13" s="204"/>
      <c r="NR13" s="204"/>
      <c r="NS13" s="204"/>
      <c r="NT13" s="204"/>
      <c r="NU13" s="204"/>
      <c r="NV13" s="204"/>
      <c r="NW13" s="204"/>
      <c r="NX13" s="204"/>
      <c r="NY13" s="204"/>
      <c r="NZ13" s="204"/>
      <c r="OA13" s="204"/>
      <c r="OB13" s="204"/>
      <c r="OC13" s="204"/>
      <c r="OD13" s="204"/>
      <c r="OE13" s="204"/>
      <c r="OF13" s="204"/>
      <c r="OG13" s="204"/>
      <c r="OH13" s="204"/>
      <c r="OI13" s="204"/>
      <c r="OJ13" s="204"/>
      <c r="OK13" s="204"/>
      <c r="OL13" s="204"/>
      <c r="OM13" s="204"/>
      <c r="ON13" s="204"/>
      <c r="OO13" s="204"/>
      <c r="OP13" s="204"/>
      <c r="OQ13" s="204"/>
      <c r="OR13" s="204"/>
      <c r="OS13" s="204"/>
      <c r="OT13" s="204"/>
      <c r="OU13" s="204"/>
      <c r="OV13" s="204"/>
      <c r="OW13" s="204"/>
      <c r="OX13" s="204"/>
      <c r="OY13" s="204"/>
      <c r="OZ13" s="204"/>
      <c r="PA13" s="204"/>
      <c r="PB13" s="204"/>
      <c r="PC13" s="204"/>
      <c r="PD13" s="204"/>
      <c r="PE13" s="204"/>
      <c r="PF13" s="204"/>
      <c r="PG13" s="204"/>
      <c r="PH13" s="204"/>
      <c r="PI13" s="205"/>
      <c r="PJ13" s="203" t="s">
        <v>39</v>
      </c>
      <c r="PK13" s="204"/>
      <c r="PL13" s="204"/>
      <c r="PM13" s="204"/>
      <c r="PN13" s="204"/>
      <c r="PO13" s="204"/>
      <c r="PP13" s="204"/>
      <c r="PQ13" s="204"/>
      <c r="PR13" s="204"/>
      <c r="PS13" s="204"/>
      <c r="PT13" s="204"/>
      <c r="PU13" s="204"/>
      <c r="PV13" s="204"/>
      <c r="PW13" s="204"/>
      <c r="PX13" s="204"/>
      <c r="PY13" s="204"/>
      <c r="PZ13" s="204"/>
      <c r="QA13" s="204"/>
      <c r="QB13" s="204"/>
      <c r="QC13" s="204"/>
      <c r="QD13" s="204"/>
      <c r="QE13" s="204"/>
      <c r="QF13" s="204"/>
      <c r="QG13" s="204"/>
      <c r="QH13" s="204"/>
      <c r="QI13" s="204"/>
      <c r="QJ13" s="204"/>
      <c r="QK13" s="204"/>
      <c r="QL13" s="204"/>
      <c r="QM13" s="204"/>
      <c r="QN13" s="204"/>
      <c r="QO13" s="204"/>
      <c r="QP13" s="204"/>
      <c r="QQ13" s="204"/>
      <c r="QR13" s="204"/>
      <c r="QS13" s="204"/>
      <c r="QT13" s="204"/>
      <c r="QU13" s="204"/>
      <c r="QV13" s="204"/>
      <c r="QW13" s="204"/>
      <c r="QX13" s="204"/>
      <c r="QY13" s="204"/>
      <c r="QZ13" s="204"/>
      <c r="RA13" s="204"/>
      <c r="RB13" s="204"/>
      <c r="RC13" s="204"/>
      <c r="RD13" s="204"/>
      <c r="RE13" s="204"/>
      <c r="RF13" s="204"/>
      <c r="RG13" s="204"/>
      <c r="RH13" s="204"/>
      <c r="RI13" s="204"/>
      <c r="RJ13" s="204"/>
      <c r="RK13" s="204"/>
      <c r="RL13" s="204"/>
      <c r="RM13" s="204"/>
      <c r="RN13" s="204"/>
      <c r="RO13" s="204"/>
      <c r="RP13" s="204"/>
      <c r="RQ13" s="205"/>
      <c r="RR13" s="203" t="s">
        <v>49</v>
      </c>
      <c r="RS13" s="204"/>
      <c r="RT13" s="204"/>
      <c r="RU13" s="204"/>
      <c r="RV13" s="204"/>
      <c r="RW13" s="204"/>
      <c r="RX13" s="204"/>
      <c r="RY13" s="204"/>
      <c r="RZ13" s="204"/>
      <c r="SA13" s="204"/>
      <c r="SB13" s="204"/>
      <c r="SC13" s="204"/>
      <c r="SD13" s="204"/>
      <c r="SE13" s="204"/>
      <c r="SF13" s="204"/>
      <c r="SG13" s="204"/>
      <c r="SH13" s="204"/>
      <c r="SI13" s="204"/>
      <c r="SJ13" s="204"/>
      <c r="SK13" s="204"/>
      <c r="SL13" s="204"/>
      <c r="SM13" s="204"/>
      <c r="SN13" s="204"/>
      <c r="SO13" s="204"/>
      <c r="SP13" s="204"/>
      <c r="SQ13" s="204"/>
      <c r="SR13" s="204"/>
      <c r="SS13" s="204"/>
      <c r="ST13" s="204"/>
      <c r="SU13" s="204"/>
      <c r="SV13" s="204"/>
      <c r="SW13" s="204"/>
      <c r="SX13" s="204"/>
      <c r="SY13" s="204"/>
      <c r="SZ13" s="204"/>
      <c r="TA13" s="204"/>
      <c r="TB13" s="204"/>
      <c r="TC13" s="204"/>
      <c r="TD13" s="204"/>
      <c r="TE13" s="204"/>
      <c r="TF13" s="204"/>
      <c r="TG13" s="204"/>
      <c r="TH13" s="204"/>
      <c r="TI13" s="204"/>
      <c r="TJ13" s="204"/>
      <c r="TK13" s="204"/>
      <c r="TL13" s="204"/>
      <c r="TM13" s="204"/>
      <c r="TN13" s="204"/>
      <c r="TO13" s="204"/>
      <c r="TP13" s="204"/>
      <c r="TQ13" s="204"/>
      <c r="TR13" s="204"/>
      <c r="TS13" s="204"/>
      <c r="TT13" s="204"/>
      <c r="TU13" s="204"/>
      <c r="TV13" s="204"/>
      <c r="TW13" s="204"/>
      <c r="TX13" s="204"/>
      <c r="TY13" s="205"/>
      <c r="TZ13" s="203" t="s">
        <v>48</v>
      </c>
      <c r="UA13" s="204"/>
      <c r="UB13" s="204"/>
      <c r="UC13" s="204"/>
      <c r="UD13" s="204"/>
      <c r="UE13" s="204"/>
      <c r="UF13" s="204"/>
      <c r="UG13" s="204"/>
      <c r="UH13" s="204"/>
      <c r="UI13" s="204"/>
      <c r="UJ13" s="204"/>
      <c r="UK13" s="204"/>
      <c r="UL13" s="204"/>
      <c r="UM13" s="204"/>
      <c r="UN13" s="204"/>
      <c r="UO13" s="204"/>
      <c r="UP13" s="204"/>
      <c r="UQ13" s="204"/>
      <c r="UR13" s="204"/>
      <c r="US13" s="204"/>
      <c r="UT13" s="204"/>
      <c r="UU13" s="204"/>
      <c r="UV13" s="204"/>
      <c r="UW13" s="204"/>
      <c r="UX13" s="204"/>
      <c r="UY13" s="204"/>
      <c r="UZ13" s="204"/>
      <c r="VA13" s="204"/>
      <c r="VB13" s="204"/>
      <c r="VC13" s="204"/>
      <c r="VD13" s="204"/>
      <c r="VE13" s="204"/>
      <c r="VF13" s="204"/>
      <c r="VG13" s="204"/>
      <c r="VH13" s="204"/>
      <c r="VI13" s="204"/>
      <c r="VJ13" s="204"/>
      <c r="VK13" s="204"/>
      <c r="VL13" s="204"/>
      <c r="VM13" s="204"/>
      <c r="VN13" s="204"/>
      <c r="VO13" s="204"/>
      <c r="VP13" s="204"/>
      <c r="VQ13" s="204"/>
      <c r="VR13" s="204"/>
      <c r="VS13" s="204"/>
      <c r="VT13" s="204"/>
      <c r="VU13" s="204"/>
      <c r="VV13" s="204"/>
      <c r="VW13" s="204"/>
      <c r="VX13" s="204"/>
      <c r="VY13" s="204"/>
      <c r="VZ13" s="204"/>
      <c r="WA13" s="204"/>
      <c r="WB13" s="204"/>
      <c r="WC13" s="204"/>
      <c r="WD13" s="204"/>
      <c r="WE13" s="204"/>
      <c r="WF13" s="204"/>
      <c r="WG13" s="205"/>
      <c r="WH13" s="203" t="s">
        <v>47</v>
      </c>
      <c r="WI13" s="204"/>
      <c r="WJ13" s="204"/>
      <c r="WK13" s="204"/>
      <c r="WL13" s="204"/>
      <c r="WM13" s="204"/>
      <c r="WN13" s="204"/>
      <c r="WO13" s="204"/>
      <c r="WP13" s="204"/>
      <c r="WQ13" s="204"/>
      <c r="WR13" s="204"/>
      <c r="WS13" s="204"/>
      <c r="WT13" s="204"/>
      <c r="WU13" s="204"/>
      <c r="WV13" s="204"/>
      <c r="WW13" s="204"/>
      <c r="WX13" s="204"/>
      <c r="WY13" s="204"/>
      <c r="WZ13" s="204"/>
      <c r="XA13" s="204"/>
      <c r="XB13" s="204"/>
      <c r="XC13" s="204"/>
      <c r="XD13" s="204"/>
      <c r="XE13" s="204"/>
      <c r="XF13" s="204"/>
      <c r="XG13" s="204"/>
      <c r="XH13" s="204"/>
      <c r="XI13" s="204"/>
      <c r="XJ13" s="204"/>
      <c r="XK13" s="204"/>
      <c r="XL13" s="204"/>
      <c r="XM13" s="204"/>
      <c r="XN13" s="204"/>
      <c r="XO13" s="204"/>
      <c r="XP13" s="204"/>
      <c r="XQ13" s="204"/>
      <c r="XR13" s="204"/>
      <c r="XS13" s="204"/>
      <c r="XT13" s="204"/>
      <c r="XU13" s="204"/>
      <c r="XV13" s="204"/>
      <c r="XW13" s="204"/>
      <c r="XX13" s="204"/>
      <c r="XY13" s="204"/>
      <c r="XZ13" s="204"/>
      <c r="YA13" s="204"/>
      <c r="YB13" s="204"/>
      <c r="YC13" s="204"/>
      <c r="YD13" s="204"/>
      <c r="YE13" s="204"/>
      <c r="YF13" s="204"/>
      <c r="YG13" s="204"/>
      <c r="YH13" s="204"/>
      <c r="YI13" s="204"/>
      <c r="YJ13" s="204"/>
      <c r="YK13" s="204"/>
      <c r="YL13" s="204"/>
      <c r="YM13" s="204"/>
      <c r="YN13" s="204"/>
      <c r="YO13" s="205"/>
      <c r="YP13" s="203" t="s">
        <v>46</v>
      </c>
      <c r="YQ13" s="204"/>
      <c r="YR13" s="204"/>
      <c r="YS13" s="204"/>
      <c r="YT13" s="204"/>
      <c r="YU13" s="204"/>
      <c r="YV13" s="204"/>
      <c r="YW13" s="204"/>
      <c r="YX13" s="204"/>
      <c r="YY13" s="204"/>
      <c r="YZ13" s="204"/>
      <c r="ZA13" s="204"/>
      <c r="ZB13" s="204"/>
      <c r="ZC13" s="204"/>
      <c r="ZD13" s="204"/>
      <c r="ZE13" s="204"/>
      <c r="ZF13" s="204"/>
      <c r="ZG13" s="204"/>
      <c r="ZH13" s="204"/>
      <c r="ZI13" s="204"/>
      <c r="ZJ13" s="204"/>
      <c r="ZK13" s="204"/>
      <c r="ZL13" s="204"/>
      <c r="ZM13" s="204"/>
      <c r="ZN13" s="204"/>
      <c r="ZO13" s="204"/>
      <c r="ZP13" s="204"/>
      <c r="ZQ13" s="204"/>
      <c r="ZR13" s="204"/>
      <c r="ZS13" s="204"/>
      <c r="ZT13" s="204"/>
      <c r="ZU13" s="204"/>
      <c r="ZV13" s="204"/>
      <c r="ZW13" s="204"/>
      <c r="ZX13" s="204"/>
      <c r="ZY13" s="204"/>
      <c r="ZZ13" s="204"/>
      <c r="AAA13" s="204"/>
      <c r="AAB13" s="204"/>
      <c r="AAC13" s="204"/>
      <c r="AAD13" s="204"/>
      <c r="AAE13" s="204"/>
      <c r="AAF13" s="204"/>
      <c r="AAG13" s="204"/>
      <c r="AAH13" s="204"/>
      <c r="AAI13" s="204"/>
      <c r="AAJ13" s="204"/>
      <c r="AAK13" s="204"/>
      <c r="AAL13" s="204"/>
      <c r="AAM13" s="204"/>
      <c r="AAN13" s="204"/>
      <c r="AAO13" s="204"/>
      <c r="AAP13" s="204"/>
      <c r="AAQ13" s="204"/>
      <c r="AAR13" s="204"/>
      <c r="AAS13" s="204"/>
      <c r="AAT13" s="204"/>
      <c r="AAU13" s="204"/>
      <c r="AAV13" s="204"/>
      <c r="AAW13" s="205"/>
      <c r="AAX13" s="203" t="s">
        <v>45</v>
      </c>
      <c r="AAY13" s="204"/>
      <c r="AAZ13" s="204"/>
      <c r="ABA13" s="204"/>
      <c r="ABB13" s="204"/>
      <c r="ABC13" s="204"/>
      <c r="ABD13" s="204"/>
      <c r="ABE13" s="204"/>
      <c r="ABF13" s="204"/>
      <c r="ABG13" s="204"/>
      <c r="ABH13" s="204"/>
      <c r="ABI13" s="204"/>
      <c r="ABJ13" s="204"/>
      <c r="ABK13" s="204"/>
      <c r="ABL13" s="204"/>
      <c r="ABM13" s="204"/>
      <c r="ABN13" s="204"/>
      <c r="ABO13" s="204"/>
      <c r="ABP13" s="204"/>
      <c r="ABQ13" s="204"/>
      <c r="ABR13" s="204"/>
      <c r="ABS13" s="204"/>
      <c r="ABT13" s="204"/>
      <c r="ABU13" s="204"/>
      <c r="ABV13" s="204"/>
      <c r="ABW13" s="204"/>
      <c r="ABX13" s="204"/>
      <c r="ABY13" s="204"/>
      <c r="ABZ13" s="204"/>
      <c r="ACA13" s="204"/>
      <c r="ACB13" s="204"/>
      <c r="ACC13" s="204"/>
      <c r="ACD13" s="204"/>
      <c r="ACE13" s="204"/>
      <c r="ACF13" s="204"/>
      <c r="ACG13" s="204"/>
      <c r="ACH13" s="204"/>
      <c r="ACI13" s="204"/>
      <c r="ACJ13" s="204"/>
      <c r="ACK13" s="204"/>
      <c r="ACL13" s="204"/>
      <c r="ACM13" s="204"/>
      <c r="ACN13" s="204"/>
      <c r="ACO13" s="204"/>
      <c r="ACP13" s="204"/>
      <c r="ACQ13" s="204"/>
      <c r="ACR13" s="204"/>
      <c r="ACS13" s="204"/>
      <c r="ACT13" s="204"/>
      <c r="ACU13" s="204"/>
      <c r="ACV13" s="204"/>
      <c r="ACW13" s="204"/>
      <c r="ACX13" s="204"/>
      <c r="ACY13" s="204"/>
      <c r="ACZ13" s="204"/>
      <c r="ADA13" s="204"/>
      <c r="ADB13" s="204"/>
      <c r="ADC13" s="204"/>
      <c r="ADD13" s="204"/>
      <c r="ADE13" s="205"/>
      <c r="ADF13" s="203" t="s">
        <v>44</v>
      </c>
      <c r="ADG13" s="204"/>
      <c r="ADH13" s="204"/>
      <c r="ADI13" s="204"/>
      <c r="ADJ13" s="204"/>
      <c r="ADK13" s="204"/>
      <c r="ADL13" s="204"/>
      <c r="ADM13" s="204"/>
      <c r="ADN13" s="204"/>
      <c r="ADO13" s="204"/>
      <c r="ADP13" s="204"/>
      <c r="ADQ13" s="204"/>
      <c r="ADR13" s="204"/>
      <c r="ADS13" s="204"/>
      <c r="ADT13" s="204"/>
      <c r="ADU13" s="204"/>
      <c r="ADV13" s="204"/>
      <c r="ADW13" s="204"/>
      <c r="ADX13" s="204"/>
      <c r="ADY13" s="204"/>
      <c r="ADZ13" s="204"/>
      <c r="AEA13" s="204"/>
      <c r="AEB13" s="204"/>
      <c r="AEC13" s="204"/>
      <c r="AED13" s="204"/>
      <c r="AEE13" s="204"/>
      <c r="AEF13" s="204"/>
      <c r="AEG13" s="204"/>
      <c r="AEH13" s="204"/>
      <c r="AEI13" s="204"/>
      <c r="AEJ13" s="204"/>
      <c r="AEK13" s="204"/>
      <c r="AEL13" s="204"/>
      <c r="AEM13" s="204"/>
      <c r="AEN13" s="204"/>
      <c r="AEO13" s="204"/>
      <c r="AEP13" s="204"/>
      <c r="AEQ13" s="204"/>
      <c r="AER13" s="204"/>
      <c r="AES13" s="204"/>
      <c r="AET13" s="204"/>
      <c r="AEU13" s="204"/>
      <c r="AEV13" s="204"/>
      <c r="AEW13" s="204"/>
      <c r="AEX13" s="204"/>
      <c r="AEY13" s="204"/>
      <c r="AEZ13" s="204"/>
      <c r="AFA13" s="204"/>
      <c r="AFB13" s="204"/>
      <c r="AFC13" s="204"/>
      <c r="AFD13" s="204"/>
      <c r="AFE13" s="204"/>
      <c r="AFF13" s="204"/>
      <c r="AFG13" s="204"/>
      <c r="AFH13" s="204"/>
      <c r="AFI13" s="204"/>
      <c r="AFJ13" s="204"/>
      <c r="AFK13" s="204"/>
      <c r="AFL13" s="204"/>
      <c r="AFM13" s="205"/>
      <c r="AFN13" s="203" t="s">
        <v>67</v>
      </c>
      <c r="AFO13" s="204"/>
      <c r="AFP13" s="204"/>
      <c r="AFQ13" s="204"/>
      <c r="AFR13" s="204"/>
      <c r="AFS13" s="204"/>
      <c r="AFT13" s="204"/>
      <c r="AFU13" s="204"/>
      <c r="AFV13" s="204"/>
      <c r="AFW13" s="204"/>
      <c r="AFX13" s="204"/>
      <c r="AFY13" s="204"/>
      <c r="AFZ13" s="204"/>
      <c r="AGA13" s="204"/>
      <c r="AGB13" s="204"/>
      <c r="AGC13" s="204"/>
      <c r="AGD13" s="204"/>
      <c r="AGE13" s="204"/>
      <c r="AGF13" s="204"/>
      <c r="AGG13" s="204"/>
      <c r="AGH13" s="204"/>
      <c r="AGI13" s="204"/>
      <c r="AGJ13" s="204"/>
      <c r="AGK13" s="204"/>
      <c r="AGL13" s="204"/>
      <c r="AGM13" s="204"/>
      <c r="AGN13" s="204"/>
      <c r="AGO13" s="204"/>
      <c r="AGP13" s="204"/>
      <c r="AGQ13" s="204"/>
      <c r="AGR13" s="204"/>
      <c r="AGS13" s="204"/>
      <c r="AGT13" s="204"/>
      <c r="AGU13" s="204"/>
      <c r="AGV13" s="204"/>
      <c r="AGW13" s="204"/>
      <c r="AGX13" s="204"/>
      <c r="AGY13" s="204"/>
      <c r="AGZ13" s="204"/>
      <c r="AHA13" s="204"/>
      <c r="AHB13" s="204"/>
      <c r="AHC13" s="204"/>
      <c r="AHD13" s="204"/>
      <c r="AHE13" s="204"/>
      <c r="AHF13" s="204"/>
      <c r="AHG13" s="204"/>
      <c r="AHH13" s="204"/>
      <c r="AHI13" s="204"/>
      <c r="AHJ13" s="204"/>
      <c r="AHK13" s="204"/>
      <c r="AHL13" s="204"/>
      <c r="AHM13" s="204"/>
      <c r="AHN13" s="204"/>
      <c r="AHO13" s="204"/>
      <c r="AHP13" s="204"/>
      <c r="AHQ13" s="204"/>
      <c r="AHR13" s="204"/>
      <c r="AHS13" s="204"/>
      <c r="AHT13" s="204"/>
      <c r="AHU13" s="205"/>
      <c r="AHV13" s="203" t="s">
        <v>158</v>
      </c>
      <c r="AHW13" s="204"/>
      <c r="AHX13" s="204"/>
      <c r="AHY13" s="204"/>
      <c r="AHZ13" s="204"/>
      <c r="AIA13" s="204"/>
      <c r="AIB13" s="204"/>
      <c r="AIC13" s="204"/>
      <c r="AID13" s="204"/>
      <c r="AIE13" s="204"/>
      <c r="AIF13" s="204"/>
      <c r="AIG13" s="204"/>
      <c r="AIH13" s="204"/>
      <c r="AII13" s="204"/>
      <c r="AIJ13" s="204"/>
      <c r="AIK13" s="204"/>
      <c r="AIL13" s="204"/>
      <c r="AIM13" s="204"/>
      <c r="AIN13" s="204"/>
      <c r="AIO13" s="204"/>
      <c r="AIP13" s="204"/>
      <c r="AIQ13" s="204"/>
      <c r="AIR13" s="204"/>
      <c r="AIS13" s="204"/>
      <c r="AIT13" s="204"/>
      <c r="AIU13" s="204"/>
      <c r="AIV13" s="204"/>
      <c r="AIW13" s="204"/>
      <c r="AIX13" s="204"/>
      <c r="AIY13" s="204"/>
      <c r="AIZ13" s="204"/>
      <c r="AJA13" s="204"/>
      <c r="AJB13" s="204"/>
      <c r="AJC13" s="204"/>
      <c r="AJD13" s="204"/>
      <c r="AJE13" s="204"/>
      <c r="AJF13" s="204"/>
      <c r="AJG13" s="204"/>
      <c r="AJH13" s="204"/>
      <c r="AJI13" s="204"/>
      <c r="AJJ13" s="204"/>
      <c r="AJK13" s="204"/>
      <c r="AJL13" s="204"/>
      <c r="AJM13" s="204"/>
      <c r="AJN13" s="204"/>
      <c r="AJO13" s="204"/>
      <c r="AJP13" s="204"/>
      <c r="AJQ13" s="204"/>
      <c r="AJR13" s="204"/>
      <c r="AJS13" s="204"/>
      <c r="AJT13" s="204"/>
      <c r="AJU13" s="204"/>
      <c r="AJV13" s="204"/>
      <c r="AJW13" s="204"/>
      <c r="AJX13" s="204"/>
      <c r="AJY13" s="204"/>
      <c r="AJZ13" s="204"/>
      <c r="AKA13" s="204"/>
      <c r="AKB13" s="204"/>
      <c r="AKC13" s="205"/>
      <c r="AKD13" s="203" t="s">
        <v>157</v>
      </c>
      <c r="AKE13" s="204"/>
      <c r="AKF13" s="204"/>
      <c r="AKG13" s="204"/>
      <c r="AKH13" s="204"/>
      <c r="AKI13" s="204"/>
      <c r="AKJ13" s="204"/>
      <c r="AKK13" s="204"/>
      <c r="AKL13" s="204"/>
      <c r="AKM13" s="204"/>
      <c r="AKN13" s="204"/>
      <c r="AKO13" s="204"/>
      <c r="AKP13" s="204"/>
      <c r="AKQ13" s="204"/>
      <c r="AKR13" s="204"/>
      <c r="AKS13" s="204"/>
      <c r="AKT13" s="204"/>
      <c r="AKU13" s="204"/>
      <c r="AKV13" s="204"/>
      <c r="AKW13" s="204"/>
      <c r="AKX13" s="204"/>
      <c r="AKY13" s="204"/>
      <c r="AKZ13" s="204"/>
      <c r="ALA13" s="204"/>
      <c r="ALB13" s="204"/>
      <c r="ALC13" s="204"/>
      <c r="ALD13" s="204"/>
      <c r="ALE13" s="204"/>
      <c r="ALF13" s="204"/>
      <c r="ALG13" s="204"/>
      <c r="ALH13" s="204"/>
      <c r="ALI13" s="204"/>
      <c r="ALJ13" s="204"/>
      <c r="ALK13" s="204"/>
      <c r="ALL13" s="204"/>
      <c r="ALM13" s="204"/>
      <c r="ALN13" s="204"/>
      <c r="ALO13" s="204"/>
      <c r="ALP13" s="204"/>
      <c r="ALQ13" s="204"/>
      <c r="ALR13" s="204"/>
      <c r="ALS13" s="204"/>
      <c r="ALT13" s="204"/>
      <c r="ALU13" s="204"/>
      <c r="ALV13" s="204"/>
      <c r="ALW13" s="204"/>
      <c r="ALX13" s="204"/>
      <c r="ALY13" s="204"/>
      <c r="ALZ13" s="204"/>
      <c r="AMA13" s="204"/>
      <c r="AMB13" s="204"/>
      <c r="AMC13" s="204"/>
      <c r="AMD13" s="204"/>
      <c r="AME13" s="204"/>
      <c r="AMF13" s="204"/>
      <c r="AMG13" s="204"/>
      <c r="AMH13" s="204"/>
      <c r="AMI13" s="204"/>
      <c r="AMJ13" s="204"/>
      <c r="AMK13" s="205"/>
      <c r="AML13" s="203" t="s">
        <v>155</v>
      </c>
      <c r="AMM13" s="204"/>
      <c r="AMN13" s="204"/>
      <c r="AMO13" s="204"/>
      <c r="AMP13" s="204"/>
      <c r="AMQ13" s="204"/>
      <c r="AMR13" s="204"/>
      <c r="AMS13" s="204"/>
      <c r="AMT13" s="204"/>
      <c r="AMU13" s="204"/>
      <c r="AMV13" s="204"/>
      <c r="AMW13" s="204"/>
      <c r="AMX13" s="204"/>
      <c r="AMY13" s="204"/>
      <c r="AMZ13" s="204"/>
      <c r="ANA13" s="204"/>
      <c r="ANB13" s="204"/>
      <c r="ANC13" s="204"/>
      <c r="AND13" s="204"/>
      <c r="ANE13" s="204"/>
      <c r="ANF13" s="204"/>
      <c r="ANG13" s="204"/>
      <c r="ANH13" s="204"/>
      <c r="ANI13" s="204"/>
      <c r="ANJ13" s="204"/>
      <c r="ANK13" s="204"/>
      <c r="ANL13" s="204"/>
      <c r="ANM13" s="204"/>
      <c r="ANN13" s="204"/>
      <c r="ANO13" s="204"/>
      <c r="ANP13" s="204"/>
      <c r="ANQ13" s="204"/>
      <c r="ANR13" s="204"/>
      <c r="ANS13" s="204"/>
      <c r="ANT13" s="204"/>
      <c r="ANU13" s="204"/>
      <c r="ANV13" s="204"/>
      <c r="ANW13" s="204"/>
      <c r="ANX13" s="204"/>
      <c r="ANY13" s="204"/>
      <c r="ANZ13" s="204"/>
      <c r="AOA13" s="204"/>
      <c r="AOB13" s="204"/>
      <c r="AOC13" s="204"/>
      <c r="AOD13" s="204"/>
      <c r="AOE13" s="204"/>
      <c r="AOF13" s="204"/>
      <c r="AOG13" s="204"/>
      <c r="AOH13" s="204"/>
      <c r="AOI13" s="204"/>
      <c r="AOJ13" s="204"/>
      <c r="AOK13" s="204"/>
      <c r="AOL13" s="204"/>
      <c r="AOM13" s="204"/>
      <c r="AON13" s="204"/>
      <c r="AOO13" s="204"/>
      <c r="AOP13" s="204"/>
      <c r="AOQ13" s="204"/>
      <c r="AOR13" s="204"/>
      <c r="AOS13" s="205"/>
      <c r="AOT13" s="89" t="s">
        <v>154</v>
      </c>
      <c r="ARB13" s="3" t="s">
        <v>152</v>
      </c>
    </row>
    <row r="14" spans="1:1146" ht="12.75" customHeight="1" thickBot="1">
      <c r="B14" s="95"/>
      <c r="C14" s="229"/>
      <c r="D14" s="144"/>
      <c r="E14" s="231"/>
      <c r="F14" s="102"/>
      <c r="G14" s="103"/>
      <c r="H14" s="103"/>
      <c r="I14" s="103"/>
      <c r="J14" s="206" t="s">
        <v>32</v>
      </c>
      <c r="K14" s="206"/>
      <c r="L14" s="206"/>
      <c r="M14" s="206"/>
      <c r="N14" s="103"/>
      <c r="O14" s="103"/>
      <c r="P14" s="207" t="s">
        <v>22</v>
      </c>
      <c r="Q14" s="207"/>
      <c r="R14" s="207"/>
      <c r="S14" s="207"/>
      <c r="T14" s="128"/>
      <c r="U14" s="128"/>
      <c r="V14" s="206" t="s">
        <v>33</v>
      </c>
      <c r="W14" s="206"/>
      <c r="X14" s="206"/>
      <c r="Y14" s="206"/>
      <c r="Z14" s="103"/>
      <c r="AA14" s="103"/>
      <c r="AB14" s="207" t="s">
        <v>23</v>
      </c>
      <c r="AC14" s="207"/>
      <c r="AD14" s="207"/>
      <c r="AE14" s="207"/>
      <c r="AF14" s="128"/>
      <c r="AG14" s="128"/>
      <c r="AH14" s="206" t="s">
        <v>34</v>
      </c>
      <c r="AI14" s="206"/>
      <c r="AJ14" s="206"/>
      <c r="AK14" s="206"/>
      <c r="AL14" s="103"/>
      <c r="AM14" s="103"/>
      <c r="AN14" s="207" t="s">
        <v>24</v>
      </c>
      <c r="AO14" s="207"/>
      <c r="AP14" s="207"/>
      <c r="AQ14" s="207"/>
      <c r="AR14" s="128"/>
      <c r="AS14" s="128"/>
      <c r="AT14" s="206" t="s">
        <v>35</v>
      </c>
      <c r="AU14" s="206"/>
      <c r="AV14" s="206"/>
      <c r="AW14" s="206"/>
      <c r="AX14" s="103"/>
      <c r="AY14" s="103"/>
      <c r="AZ14" s="207" t="s">
        <v>25</v>
      </c>
      <c r="BA14" s="207"/>
      <c r="BB14" s="207"/>
      <c r="BC14" s="207"/>
      <c r="BD14" s="128"/>
      <c r="BE14" s="128"/>
      <c r="BF14" s="206" t="s">
        <v>36</v>
      </c>
      <c r="BG14" s="206"/>
      <c r="BH14" s="206"/>
      <c r="BI14" s="206"/>
      <c r="BJ14" s="103"/>
      <c r="BK14" s="103"/>
      <c r="BL14" s="103"/>
      <c r="BM14" s="104"/>
      <c r="BN14" s="102"/>
      <c r="BO14" s="103"/>
      <c r="BP14" s="103"/>
      <c r="BQ14" s="103"/>
      <c r="BR14" s="206" t="s">
        <v>32</v>
      </c>
      <c r="BS14" s="206"/>
      <c r="BT14" s="206"/>
      <c r="BU14" s="206"/>
      <c r="BV14" s="103"/>
      <c r="BW14" s="103"/>
      <c r="BX14" s="207" t="s">
        <v>22</v>
      </c>
      <c r="BY14" s="207"/>
      <c r="BZ14" s="207"/>
      <c r="CA14" s="207"/>
      <c r="CB14" s="128"/>
      <c r="CC14" s="128"/>
      <c r="CD14" s="206" t="s">
        <v>33</v>
      </c>
      <c r="CE14" s="206"/>
      <c r="CF14" s="206"/>
      <c r="CG14" s="206"/>
      <c r="CH14" s="103"/>
      <c r="CI14" s="103"/>
      <c r="CJ14" s="207" t="s">
        <v>23</v>
      </c>
      <c r="CK14" s="207"/>
      <c r="CL14" s="207"/>
      <c r="CM14" s="207"/>
      <c r="CN14" s="128"/>
      <c r="CO14" s="128"/>
      <c r="CP14" s="206" t="s">
        <v>34</v>
      </c>
      <c r="CQ14" s="206"/>
      <c r="CR14" s="206"/>
      <c r="CS14" s="206"/>
      <c r="CT14" s="103"/>
      <c r="CU14" s="103"/>
      <c r="CV14" s="207" t="s">
        <v>24</v>
      </c>
      <c r="CW14" s="207"/>
      <c r="CX14" s="207"/>
      <c r="CY14" s="207"/>
      <c r="CZ14" s="128"/>
      <c r="DA14" s="128"/>
      <c r="DB14" s="206" t="s">
        <v>35</v>
      </c>
      <c r="DC14" s="206"/>
      <c r="DD14" s="206"/>
      <c r="DE14" s="206"/>
      <c r="DF14" s="103"/>
      <c r="DG14" s="103"/>
      <c r="DH14" s="207" t="s">
        <v>25</v>
      </c>
      <c r="DI14" s="207"/>
      <c r="DJ14" s="207"/>
      <c r="DK14" s="207"/>
      <c r="DL14" s="128"/>
      <c r="DM14" s="128"/>
      <c r="DN14" s="206" t="s">
        <v>36</v>
      </c>
      <c r="DO14" s="206"/>
      <c r="DP14" s="206"/>
      <c r="DQ14" s="206"/>
      <c r="DR14" s="103"/>
      <c r="DS14" s="103"/>
      <c r="DT14" s="103"/>
      <c r="DU14" s="104"/>
      <c r="DV14" s="102"/>
      <c r="DW14" s="103"/>
      <c r="DX14" s="103"/>
      <c r="DY14" s="103"/>
      <c r="DZ14" s="206" t="s">
        <v>32</v>
      </c>
      <c r="EA14" s="206"/>
      <c r="EB14" s="206"/>
      <c r="EC14" s="206"/>
      <c r="ED14" s="103"/>
      <c r="EE14" s="103"/>
      <c r="EF14" s="207" t="s">
        <v>22</v>
      </c>
      <c r="EG14" s="207"/>
      <c r="EH14" s="207"/>
      <c r="EI14" s="207"/>
      <c r="EJ14" s="128"/>
      <c r="EK14" s="128"/>
      <c r="EL14" s="206" t="s">
        <v>33</v>
      </c>
      <c r="EM14" s="206"/>
      <c r="EN14" s="206"/>
      <c r="EO14" s="206"/>
      <c r="EP14" s="103"/>
      <c r="EQ14" s="103"/>
      <c r="ER14" s="207" t="s">
        <v>23</v>
      </c>
      <c r="ES14" s="207"/>
      <c r="ET14" s="207"/>
      <c r="EU14" s="207"/>
      <c r="EV14" s="128"/>
      <c r="EW14" s="128"/>
      <c r="EX14" s="206" t="s">
        <v>34</v>
      </c>
      <c r="EY14" s="206"/>
      <c r="EZ14" s="206"/>
      <c r="FA14" s="206"/>
      <c r="FB14" s="103"/>
      <c r="FC14" s="103"/>
      <c r="FD14" s="207" t="s">
        <v>24</v>
      </c>
      <c r="FE14" s="207"/>
      <c r="FF14" s="207"/>
      <c r="FG14" s="207"/>
      <c r="FH14" s="128"/>
      <c r="FI14" s="128"/>
      <c r="FJ14" s="206" t="s">
        <v>35</v>
      </c>
      <c r="FK14" s="206"/>
      <c r="FL14" s="206"/>
      <c r="FM14" s="206"/>
      <c r="FN14" s="103"/>
      <c r="FO14" s="103"/>
      <c r="FP14" s="207" t="s">
        <v>25</v>
      </c>
      <c r="FQ14" s="207"/>
      <c r="FR14" s="207"/>
      <c r="FS14" s="207"/>
      <c r="FT14" s="128"/>
      <c r="FU14" s="128"/>
      <c r="FV14" s="206" t="s">
        <v>36</v>
      </c>
      <c r="FW14" s="206"/>
      <c r="FX14" s="206"/>
      <c r="FY14" s="206"/>
      <c r="FZ14" s="103"/>
      <c r="GA14" s="103"/>
      <c r="GB14" s="103"/>
      <c r="GC14" s="104"/>
      <c r="GD14" s="102"/>
      <c r="GE14" s="103"/>
      <c r="GF14" s="103"/>
      <c r="GG14" s="103"/>
      <c r="GH14" s="206" t="s">
        <v>32</v>
      </c>
      <c r="GI14" s="206"/>
      <c r="GJ14" s="206"/>
      <c r="GK14" s="206"/>
      <c r="GL14" s="103"/>
      <c r="GM14" s="103"/>
      <c r="GN14" s="207" t="s">
        <v>22</v>
      </c>
      <c r="GO14" s="207"/>
      <c r="GP14" s="207"/>
      <c r="GQ14" s="207"/>
      <c r="GR14" s="128"/>
      <c r="GS14" s="128"/>
      <c r="GT14" s="206" t="s">
        <v>33</v>
      </c>
      <c r="GU14" s="206"/>
      <c r="GV14" s="206"/>
      <c r="GW14" s="206"/>
      <c r="GX14" s="103"/>
      <c r="GY14" s="103"/>
      <c r="GZ14" s="207" t="s">
        <v>23</v>
      </c>
      <c r="HA14" s="207"/>
      <c r="HB14" s="207"/>
      <c r="HC14" s="207"/>
      <c r="HD14" s="128"/>
      <c r="HE14" s="128"/>
      <c r="HF14" s="206" t="s">
        <v>34</v>
      </c>
      <c r="HG14" s="206"/>
      <c r="HH14" s="206"/>
      <c r="HI14" s="206"/>
      <c r="HJ14" s="103"/>
      <c r="HK14" s="103"/>
      <c r="HL14" s="207" t="s">
        <v>24</v>
      </c>
      <c r="HM14" s="207"/>
      <c r="HN14" s="207"/>
      <c r="HO14" s="207"/>
      <c r="HP14" s="128"/>
      <c r="HQ14" s="128"/>
      <c r="HR14" s="206" t="s">
        <v>35</v>
      </c>
      <c r="HS14" s="206"/>
      <c r="HT14" s="206"/>
      <c r="HU14" s="206"/>
      <c r="HV14" s="103"/>
      <c r="HW14" s="103"/>
      <c r="HX14" s="207" t="s">
        <v>25</v>
      </c>
      <c r="HY14" s="207"/>
      <c r="HZ14" s="207"/>
      <c r="IA14" s="207"/>
      <c r="IB14" s="128"/>
      <c r="IC14" s="128"/>
      <c r="ID14" s="206" t="s">
        <v>36</v>
      </c>
      <c r="IE14" s="206"/>
      <c r="IF14" s="206"/>
      <c r="IG14" s="206"/>
      <c r="IH14" s="103"/>
      <c r="II14" s="103"/>
      <c r="IJ14" s="103"/>
      <c r="IK14" s="104"/>
      <c r="IL14" s="102"/>
      <c r="IM14" s="103"/>
      <c r="IN14" s="103"/>
      <c r="IO14" s="103"/>
      <c r="IP14" s="206" t="s">
        <v>32</v>
      </c>
      <c r="IQ14" s="206"/>
      <c r="IR14" s="206"/>
      <c r="IS14" s="206"/>
      <c r="IT14" s="103"/>
      <c r="IU14" s="103"/>
      <c r="IV14" s="207" t="s">
        <v>22</v>
      </c>
      <c r="IW14" s="207"/>
      <c r="IX14" s="207"/>
      <c r="IY14" s="207"/>
      <c r="IZ14" s="128"/>
      <c r="JA14" s="128"/>
      <c r="JB14" s="206" t="s">
        <v>33</v>
      </c>
      <c r="JC14" s="206"/>
      <c r="JD14" s="206"/>
      <c r="JE14" s="206"/>
      <c r="JF14" s="103"/>
      <c r="JG14" s="103"/>
      <c r="JH14" s="207" t="s">
        <v>23</v>
      </c>
      <c r="JI14" s="207"/>
      <c r="JJ14" s="207"/>
      <c r="JK14" s="207"/>
      <c r="JL14" s="128"/>
      <c r="JM14" s="128"/>
      <c r="JN14" s="206" t="s">
        <v>34</v>
      </c>
      <c r="JO14" s="206"/>
      <c r="JP14" s="206"/>
      <c r="JQ14" s="206"/>
      <c r="JR14" s="103"/>
      <c r="JS14" s="103"/>
      <c r="JT14" s="207" t="s">
        <v>24</v>
      </c>
      <c r="JU14" s="207"/>
      <c r="JV14" s="207"/>
      <c r="JW14" s="207"/>
      <c r="JX14" s="128"/>
      <c r="JY14" s="128"/>
      <c r="JZ14" s="206" t="s">
        <v>35</v>
      </c>
      <c r="KA14" s="206"/>
      <c r="KB14" s="206"/>
      <c r="KC14" s="206"/>
      <c r="KD14" s="103"/>
      <c r="KE14" s="103"/>
      <c r="KF14" s="207" t="s">
        <v>25</v>
      </c>
      <c r="KG14" s="207"/>
      <c r="KH14" s="207"/>
      <c r="KI14" s="207"/>
      <c r="KJ14" s="128"/>
      <c r="KK14" s="128"/>
      <c r="KL14" s="206" t="s">
        <v>36</v>
      </c>
      <c r="KM14" s="206"/>
      <c r="KN14" s="206"/>
      <c r="KO14" s="206"/>
      <c r="KP14" s="103"/>
      <c r="KQ14" s="103"/>
      <c r="KR14" s="103"/>
      <c r="KS14" s="104"/>
      <c r="KT14" s="102"/>
      <c r="KU14" s="103"/>
      <c r="KV14" s="103"/>
      <c r="KW14" s="103"/>
      <c r="KX14" s="206" t="s">
        <v>32</v>
      </c>
      <c r="KY14" s="206"/>
      <c r="KZ14" s="206"/>
      <c r="LA14" s="206"/>
      <c r="LB14" s="103"/>
      <c r="LC14" s="103"/>
      <c r="LD14" s="207" t="s">
        <v>22</v>
      </c>
      <c r="LE14" s="207"/>
      <c r="LF14" s="207"/>
      <c r="LG14" s="207"/>
      <c r="LH14" s="128"/>
      <c r="LI14" s="128"/>
      <c r="LJ14" s="206" t="s">
        <v>33</v>
      </c>
      <c r="LK14" s="206"/>
      <c r="LL14" s="206"/>
      <c r="LM14" s="206"/>
      <c r="LN14" s="103"/>
      <c r="LO14" s="103"/>
      <c r="LP14" s="207" t="s">
        <v>23</v>
      </c>
      <c r="LQ14" s="207"/>
      <c r="LR14" s="207"/>
      <c r="LS14" s="207"/>
      <c r="LT14" s="128"/>
      <c r="LU14" s="128"/>
      <c r="LV14" s="206" t="s">
        <v>34</v>
      </c>
      <c r="LW14" s="206"/>
      <c r="LX14" s="206"/>
      <c r="LY14" s="206"/>
      <c r="LZ14" s="103"/>
      <c r="MA14" s="103"/>
      <c r="MB14" s="207" t="s">
        <v>24</v>
      </c>
      <c r="MC14" s="207"/>
      <c r="MD14" s="207"/>
      <c r="ME14" s="207"/>
      <c r="MF14" s="128"/>
      <c r="MG14" s="128"/>
      <c r="MH14" s="206" t="s">
        <v>35</v>
      </c>
      <c r="MI14" s="206"/>
      <c r="MJ14" s="206"/>
      <c r="MK14" s="206"/>
      <c r="ML14" s="103"/>
      <c r="MM14" s="103"/>
      <c r="MN14" s="207" t="s">
        <v>25</v>
      </c>
      <c r="MO14" s="207"/>
      <c r="MP14" s="207"/>
      <c r="MQ14" s="207"/>
      <c r="MR14" s="128"/>
      <c r="MS14" s="128"/>
      <c r="MT14" s="206" t="s">
        <v>36</v>
      </c>
      <c r="MU14" s="206"/>
      <c r="MV14" s="206"/>
      <c r="MW14" s="206"/>
      <c r="MX14" s="103"/>
      <c r="MY14" s="103"/>
      <c r="MZ14" s="103"/>
      <c r="NA14" s="104"/>
      <c r="NB14" s="102"/>
      <c r="NC14" s="103"/>
      <c r="ND14" s="103"/>
      <c r="NE14" s="103"/>
      <c r="NF14" s="206" t="s">
        <v>32</v>
      </c>
      <c r="NG14" s="206"/>
      <c r="NH14" s="206"/>
      <c r="NI14" s="206"/>
      <c r="NJ14" s="103"/>
      <c r="NK14" s="103"/>
      <c r="NL14" s="207" t="s">
        <v>22</v>
      </c>
      <c r="NM14" s="207"/>
      <c r="NN14" s="207"/>
      <c r="NO14" s="207"/>
      <c r="NP14" s="128"/>
      <c r="NQ14" s="128"/>
      <c r="NR14" s="206" t="s">
        <v>33</v>
      </c>
      <c r="NS14" s="206"/>
      <c r="NT14" s="206"/>
      <c r="NU14" s="206"/>
      <c r="NV14" s="103"/>
      <c r="NW14" s="103"/>
      <c r="NX14" s="207" t="s">
        <v>23</v>
      </c>
      <c r="NY14" s="207"/>
      <c r="NZ14" s="207"/>
      <c r="OA14" s="207"/>
      <c r="OB14" s="128"/>
      <c r="OC14" s="128"/>
      <c r="OD14" s="206" t="s">
        <v>34</v>
      </c>
      <c r="OE14" s="206"/>
      <c r="OF14" s="206"/>
      <c r="OG14" s="206"/>
      <c r="OH14" s="103"/>
      <c r="OI14" s="103"/>
      <c r="OJ14" s="207" t="s">
        <v>24</v>
      </c>
      <c r="OK14" s="207"/>
      <c r="OL14" s="207"/>
      <c r="OM14" s="207"/>
      <c r="ON14" s="128"/>
      <c r="OO14" s="128"/>
      <c r="OP14" s="206" t="s">
        <v>35</v>
      </c>
      <c r="OQ14" s="206"/>
      <c r="OR14" s="206"/>
      <c r="OS14" s="206"/>
      <c r="OT14" s="103"/>
      <c r="OU14" s="103"/>
      <c r="OV14" s="207" t="s">
        <v>25</v>
      </c>
      <c r="OW14" s="207"/>
      <c r="OX14" s="207"/>
      <c r="OY14" s="207"/>
      <c r="OZ14" s="128"/>
      <c r="PA14" s="128"/>
      <c r="PB14" s="206" t="s">
        <v>36</v>
      </c>
      <c r="PC14" s="206"/>
      <c r="PD14" s="206"/>
      <c r="PE14" s="206"/>
      <c r="PF14" s="103"/>
      <c r="PG14" s="103"/>
      <c r="PH14" s="103"/>
      <c r="PI14" s="104"/>
      <c r="PJ14" s="102"/>
      <c r="PK14" s="103"/>
      <c r="PL14" s="103"/>
      <c r="PM14" s="103"/>
      <c r="PN14" s="206" t="s">
        <v>32</v>
      </c>
      <c r="PO14" s="206"/>
      <c r="PP14" s="206"/>
      <c r="PQ14" s="206"/>
      <c r="PR14" s="103"/>
      <c r="PS14" s="103"/>
      <c r="PT14" s="207" t="s">
        <v>22</v>
      </c>
      <c r="PU14" s="207"/>
      <c r="PV14" s="207"/>
      <c r="PW14" s="207"/>
      <c r="PX14" s="128"/>
      <c r="PY14" s="128"/>
      <c r="PZ14" s="206" t="s">
        <v>33</v>
      </c>
      <c r="QA14" s="206"/>
      <c r="QB14" s="206"/>
      <c r="QC14" s="206"/>
      <c r="QD14" s="103"/>
      <c r="QE14" s="103"/>
      <c r="QF14" s="207" t="s">
        <v>23</v>
      </c>
      <c r="QG14" s="207"/>
      <c r="QH14" s="207"/>
      <c r="QI14" s="207"/>
      <c r="QJ14" s="128"/>
      <c r="QK14" s="128"/>
      <c r="QL14" s="206" t="s">
        <v>34</v>
      </c>
      <c r="QM14" s="206"/>
      <c r="QN14" s="206"/>
      <c r="QO14" s="206"/>
      <c r="QP14" s="103"/>
      <c r="QQ14" s="103"/>
      <c r="QR14" s="207" t="s">
        <v>24</v>
      </c>
      <c r="QS14" s="207"/>
      <c r="QT14" s="207"/>
      <c r="QU14" s="207"/>
      <c r="QV14" s="128"/>
      <c r="QW14" s="128"/>
      <c r="QX14" s="206" t="s">
        <v>35</v>
      </c>
      <c r="QY14" s="206"/>
      <c r="QZ14" s="206"/>
      <c r="RA14" s="206"/>
      <c r="RB14" s="103"/>
      <c r="RC14" s="103"/>
      <c r="RD14" s="207" t="s">
        <v>25</v>
      </c>
      <c r="RE14" s="207"/>
      <c r="RF14" s="207"/>
      <c r="RG14" s="207"/>
      <c r="RH14" s="128"/>
      <c r="RI14" s="128"/>
      <c r="RJ14" s="206" t="s">
        <v>36</v>
      </c>
      <c r="RK14" s="206"/>
      <c r="RL14" s="206"/>
      <c r="RM14" s="206"/>
      <c r="RN14" s="103"/>
      <c r="RO14" s="103"/>
      <c r="RP14" s="103"/>
      <c r="RQ14" s="104"/>
      <c r="RR14" s="102"/>
      <c r="RS14" s="103"/>
      <c r="RT14" s="103"/>
      <c r="RU14" s="103"/>
      <c r="RV14" s="206" t="s">
        <v>32</v>
      </c>
      <c r="RW14" s="206"/>
      <c r="RX14" s="206"/>
      <c r="RY14" s="206"/>
      <c r="RZ14" s="103"/>
      <c r="SA14" s="103"/>
      <c r="SB14" s="207" t="s">
        <v>22</v>
      </c>
      <c r="SC14" s="207"/>
      <c r="SD14" s="207"/>
      <c r="SE14" s="207"/>
      <c r="SF14" s="128"/>
      <c r="SG14" s="128"/>
      <c r="SH14" s="206" t="s">
        <v>33</v>
      </c>
      <c r="SI14" s="206"/>
      <c r="SJ14" s="206"/>
      <c r="SK14" s="206"/>
      <c r="SL14" s="103"/>
      <c r="SM14" s="103"/>
      <c r="SN14" s="207" t="s">
        <v>23</v>
      </c>
      <c r="SO14" s="207"/>
      <c r="SP14" s="207"/>
      <c r="SQ14" s="207"/>
      <c r="SR14" s="128"/>
      <c r="SS14" s="128"/>
      <c r="ST14" s="206" t="s">
        <v>34</v>
      </c>
      <c r="SU14" s="206"/>
      <c r="SV14" s="206"/>
      <c r="SW14" s="206"/>
      <c r="SX14" s="103"/>
      <c r="SY14" s="103"/>
      <c r="SZ14" s="207" t="s">
        <v>24</v>
      </c>
      <c r="TA14" s="207"/>
      <c r="TB14" s="207"/>
      <c r="TC14" s="207"/>
      <c r="TD14" s="128"/>
      <c r="TE14" s="128"/>
      <c r="TF14" s="206" t="s">
        <v>35</v>
      </c>
      <c r="TG14" s="206"/>
      <c r="TH14" s="206"/>
      <c r="TI14" s="206"/>
      <c r="TJ14" s="103"/>
      <c r="TK14" s="103"/>
      <c r="TL14" s="207" t="s">
        <v>25</v>
      </c>
      <c r="TM14" s="207"/>
      <c r="TN14" s="207"/>
      <c r="TO14" s="207"/>
      <c r="TP14" s="128"/>
      <c r="TQ14" s="128"/>
      <c r="TR14" s="206" t="s">
        <v>36</v>
      </c>
      <c r="TS14" s="206"/>
      <c r="TT14" s="206"/>
      <c r="TU14" s="206"/>
      <c r="TV14" s="103"/>
      <c r="TW14" s="103"/>
      <c r="TX14" s="103"/>
      <c r="TY14" s="104"/>
      <c r="TZ14" s="102"/>
      <c r="UA14" s="103"/>
      <c r="UB14" s="103"/>
      <c r="UC14" s="103"/>
      <c r="UD14" s="206" t="s">
        <v>32</v>
      </c>
      <c r="UE14" s="206"/>
      <c r="UF14" s="206"/>
      <c r="UG14" s="206"/>
      <c r="UH14" s="103"/>
      <c r="UI14" s="103"/>
      <c r="UJ14" s="207" t="s">
        <v>22</v>
      </c>
      <c r="UK14" s="207"/>
      <c r="UL14" s="207"/>
      <c r="UM14" s="207"/>
      <c r="UN14" s="128"/>
      <c r="UO14" s="128"/>
      <c r="UP14" s="206" t="s">
        <v>33</v>
      </c>
      <c r="UQ14" s="206"/>
      <c r="UR14" s="206"/>
      <c r="US14" s="206"/>
      <c r="UT14" s="103"/>
      <c r="UU14" s="103"/>
      <c r="UV14" s="207" t="s">
        <v>23</v>
      </c>
      <c r="UW14" s="207"/>
      <c r="UX14" s="207"/>
      <c r="UY14" s="207"/>
      <c r="UZ14" s="128"/>
      <c r="VA14" s="128"/>
      <c r="VB14" s="206" t="s">
        <v>34</v>
      </c>
      <c r="VC14" s="206"/>
      <c r="VD14" s="206"/>
      <c r="VE14" s="206"/>
      <c r="VF14" s="103"/>
      <c r="VG14" s="103"/>
      <c r="VH14" s="207" t="s">
        <v>24</v>
      </c>
      <c r="VI14" s="207"/>
      <c r="VJ14" s="207"/>
      <c r="VK14" s="207"/>
      <c r="VL14" s="128"/>
      <c r="VM14" s="128"/>
      <c r="VN14" s="206" t="s">
        <v>35</v>
      </c>
      <c r="VO14" s="206"/>
      <c r="VP14" s="206"/>
      <c r="VQ14" s="206"/>
      <c r="VR14" s="103"/>
      <c r="VS14" s="103"/>
      <c r="VT14" s="207" t="s">
        <v>25</v>
      </c>
      <c r="VU14" s="207"/>
      <c r="VV14" s="207"/>
      <c r="VW14" s="207"/>
      <c r="VX14" s="128"/>
      <c r="VY14" s="128"/>
      <c r="VZ14" s="206" t="s">
        <v>36</v>
      </c>
      <c r="WA14" s="206"/>
      <c r="WB14" s="206"/>
      <c r="WC14" s="206"/>
      <c r="WD14" s="103"/>
      <c r="WE14" s="103"/>
      <c r="WF14" s="103"/>
      <c r="WG14" s="104"/>
      <c r="WH14" s="102"/>
      <c r="WI14" s="103"/>
      <c r="WJ14" s="103"/>
      <c r="WK14" s="103"/>
      <c r="WL14" s="206" t="s">
        <v>32</v>
      </c>
      <c r="WM14" s="206"/>
      <c r="WN14" s="206"/>
      <c r="WO14" s="206"/>
      <c r="WP14" s="103"/>
      <c r="WQ14" s="103"/>
      <c r="WR14" s="207" t="s">
        <v>22</v>
      </c>
      <c r="WS14" s="207"/>
      <c r="WT14" s="207"/>
      <c r="WU14" s="207"/>
      <c r="WV14" s="128"/>
      <c r="WW14" s="128"/>
      <c r="WX14" s="206" t="s">
        <v>33</v>
      </c>
      <c r="WY14" s="206"/>
      <c r="WZ14" s="206"/>
      <c r="XA14" s="206"/>
      <c r="XB14" s="103"/>
      <c r="XC14" s="103"/>
      <c r="XD14" s="207" t="s">
        <v>23</v>
      </c>
      <c r="XE14" s="207"/>
      <c r="XF14" s="207"/>
      <c r="XG14" s="207"/>
      <c r="XH14" s="128"/>
      <c r="XI14" s="128"/>
      <c r="XJ14" s="206" t="s">
        <v>34</v>
      </c>
      <c r="XK14" s="206"/>
      <c r="XL14" s="206"/>
      <c r="XM14" s="206"/>
      <c r="XN14" s="103"/>
      <c r="XO14" s="103"/>
      <c r="XP14" s="207" t="s">
        <v>24</v>
      </c>
      <c r="XQ14" s="207"/>
      <c r="XR14" s="207"/>
      <c r="XS14" s="207"/>
      <c r="XT14" s="128"/>
      <c r="XU14" s="128"/>
      <c r="XV14" s="206" t="s">
        <v>35</v>
      </c>
      <c r="XW14" s="206"/>
      <c r="XX14" s="206"/>
      <c r="XY14" s="206"/>
      <c r="XZ14" s="103"/>
      <c r="YA14" s="103"/>
      <c r="YB14" s="207" t="s">
        <v>25</v>
      </c>
      <c r="YC14" s="207"/>
      <c r="YD14" s="207"/>
      <c r="YE14" s="207"/>
      <c r="YF14" s="128"/>
      <c r="YG14" s="128"/>
      <c r="YH14" s="206" t="s">
        <v>36</v>
      </c>
      <c r="YI14" s="206"/>
      <c r="YJ14" s="206"/>
      <c r="YK14" s="206"/>
      <c r="YL14" s="103"/>
      <c r="YM14" s="103"/>
      <c r="YN14" s="103"/>
      <c r="YO14" s="104"/>
      <c r="YP14" s="102"/>
      <c r="YQ14" s="103"/>
      <c r="YR14" s="103"/>
      <c r="YS14" s="103"/>
      <c r="YT14" s="206" t="s">
        <v>32</v>
      </c>
      <c r="YU14" s="206"/>
      <c r="YV14" s="206"/>
      <c r="YW14" s="206"/>
      <c r="YX14" s="103"/>
      <c r="YY14" s="103"/>
      <c r="YZ14" s="207" t="s">
        <v>22</v>
      </c>
      <c r="ZA14" s="207"/>
      <c r="ZB14" s="207"/>
      <c r="ZC14" s="207"/>
      <c r="ZD14" s="128"/>
      <c r="ZE14" s="128"/>
      <c r="ZF14" s="206" t="s">
        <v>33</v>
      </c>
      <c r="ZG14" s="206"/>
      <c r="ZH14" s="206"/>
      <c r="ZI14" s="206"/>
      <c r="ZJ14" s="103"/>
      <c r="ZK14" s="103"/>
      <c r="ZL14" s="207" t="s">
        <v>23</v>
      </c>
      <c r="ZM14" s="207"/>
      <c r="ZN14" s="207"/>
      <c r="ZO14" s="207"/>
      <c r="ZP14" s="128"/>
      <c r="ZQ14" s="128"/>
      <c r="ZR14" s="206" t="s">
        <v>34</v>
      </c>
      <c r="ZS14" s="206"/>
      <c r="ZT14" s="206"/>
      <c r="ZU14" s="206"/>
      <c r="ZV14" s="103"/>
      <c r="ZW14" s="103"/>
      <c r="ZX14" s="207" t="s">
        <v>24</v>
      </c>
      <c r="ZY14" s="207"/>
      <c r="ZZ14" s="207"/>
      <c r="AAA14" s="207"/>
      <c r="AAB14" s="128"/>
      <c r="AAC14" s="128"/>
      <c r="AAD14" s="206" t="s">
        <v>35</v>
      </c>
      <c r="AAE14" s="206"/>
      <c r="AAF14" s="206"/>
      <c r="AAG14" s="206"/>
      <c r="AAH14" s="103"/>
      <c r="AAI14" s="103"/>
      <c r="AAJ14" s="207" t="s">
        <v>25</v>
      </c>
      <c r="AAK14" s="207"/>
      <c r="AAL14" s="207"/>
      <c r="AAM14" s="207"/>
      <c r="AAN14" s="128"/>
      <c r="AAO14" s="128"/>
      <c r="AAP14" s="206" t="s">
        <v>36</v>
      </c>
      <c r="AAQ14" s="206"/>
      <c r="AAR14" s="206"/>
      <c r="AAS14" s="206"/>
      <c r="AAT14" s="103"/>
      <c r="AAU14" s="103"/>
      <c r="AAV14" s="103"/>
      <c r="AAW14" s="104"/>
      <c r="AAX14" s="102"/>
      <c r="AAY14" s="103"/>
      <c r="AAZ14" s="103"/>
      <c r="ABA14" s="103"/>
      <c r="ABB14" s="206" t="s">
        <v>32</v>
      </c>
      <c r="ABC14" s="206"/>
      <c r="ABD14" s="206"/>
      <c r="ABE14" s="206"/>
      <c r="ABF14" s="103"/>
      <c r="ABG14" s="103"/>
      <c r="ABH14" s="207" t="s">
        <v>22</v>
      </c>
      <c r="ABI14" s="207"/>
      <c r="ABJ14" s="207"/>
      <c r="ABK14" s="207"/>
      <c r="ABL14" s="128"/>
      <c r="ABM14" s="128"/>
      <c r="ABN14" s="206" t="s">
        <v>33</v>
      </c>
      <c r="ABO14" s="206"/>
      <c r="ABP14" s="206"/>
      <c r="ABQ14" s="206"/>
      <c r="ABR14" s="103"/>
      <c r="ABS14" s="103"/>
      <c r="ABT14" s="207" t="s">
        <v>23</v>
      </c>
      <c r="ABU14" s="207"/>
      <c r="ABV14" s="207"/>
      <c r="ABW14" s="207"/>
      <c r="ABX14" s="128"/>
      <c r="ABY14" s="128"/>
      <c r="ABZ14" s="206" t="s">
        <v>34</v>
      </c>
      <c r="ACA14" s="206"/>
      <c r="ACB14" s="206"/>
      <c r="ACC14" s="206"/>
      <c r="ACD14" s="103"/>
      <c r="ACE14" s="103"/>
      <c r="ACF14" s="207" t="s">
        <v>24</v>
      </c>
      <c r="ACG14" s="207"/>
      <c r="ACH14" s="207"/>
      <c r="ACI14" s="207"/>
      <c r="ACJ14" s="128"/>
      <c r="ACK14" s="128"/>
      <c r="ACL14" s="206" t="s">
        <v>35</v>
      </c>
      <c r="ACM14" s="206"/>
      <c r="ACN14" s="206"/>
      <c r="ACO14" s="206"/>
      <c r="ACP14" s="103"/>
      <c r="ACQ14" s="103"/>
      <c r="ACR14" s="207" t="s">
        <v>25</v>
      </c>
      <c r="ACS14" s="207"/>
      <c r="ACT14" s="207"/>
      <c r="ACU14" s="207"/>
      <c r="ACV14" s="128"/>
      <c r="ACW14" s="128"/>
      <c r="ACX14" s="206" t="s">
        <v>36</v>
      </c>
      <c r="ACY14" s="206"/>
      <c r="ACZ14" s="206"/>
      <c r="ADA14" s="206"/>
      <c r="ADB14" s="103"/>
      <c r="ADC14" s="103"/>
      <c r="ADD14" s="103"/>
      <c r="ADE14" s="104"/>
      <c r="ADF14" s="102"/>
      <c r="ADG14" s="103"/>
      <c r="ADH14" s="103"/>
      <c r="ADI14" s="103"/>
      <c r="ADJ14" s="206" t="s">
        <v>32</v>
      </c>
      <c r="ADK14" s="206"/>
      <c r="ADL14" s="206"/>
      <c r="ADM14" s="206"/>
      <c r="ADN14" s="103"/>
      <c r="ADO14" s="103"/>
      <c r="ADP14" s="207" t="s">
        <v>22</v>
      </c>
      <c r="ADQ14" s="207"/>
      <c r="ADR14" s="207"/>
      <c r="ADS14" s="207"/>
      <c r="ADT14" s="128"/>
      <c r="ADU14" s="128"/>
      <c r="ADV14" s="206" t="s">
        <v>33</v>
      </c>
      <c r="ADW14" s="206"/>
      <c r="ADX14" s="206"/>
      <c r="ADY14" s="206"/>
      <c r="ADZ14" s="103"/>
      <c r="AEA14" s="103"/>
      <c r="AEB14" s="207" t="s">
        <v>23</v>
      </c>
      <c r="AEC14" s="207"/>
      <c r="AED14" s="207"/>
      <c r="AEE14" s="207"/>
      <c r="AEF14" s="128"/>
      <c r="AEG14" s="128"/>
      <c r="AEH14" s="206" t="s">
        <v>34</v>
      </c>
      <c r="AEI14" s="206"/>
      <c r="AEJ14" s="206"/>
      <c r="AEK14" s="206"/>
      <c r="AEL14" s="103"/>
      <c r="AEM14" s="103"/>
      <c r="AEN14" s="207" t="s">
        <v>24</v>
      </c>
      <c r="AEO14" s="207"/>
      <c r="AEP14" s="207"/>
      <c r="AEQ14" s="207"/>
      <c r="AER14" s="128"/>
      <c r="AES14" s="128"/>
      <c r="AET14" s="206" t="s">
        <v>35</v>
      </c>
      <c r="AEU14" s="206"/>
      <c r="AEV14" s="206"/>
      <c r="AEW14" s="206"/>
      <c r="AEX14" s="103"/>
      <c r="AEY14" s="103"/>
      <c r="AEZ14" s="207" t="s">
        <v>25</v>
      </c>
      <c r="AFA14" s="207"/>
      <c r="AFB14" s="207"/>
      <c r="AFC14" s="207"/>
      <c r="AFD14" s="128"/>
      <c r="AFE14" s="128"/>
      <c r="AFF14" s="206" t="s">
        <v>36</v>
      </c>
      <c r="AFG14" s="206"/>
      <c r="AFH14" s="206"/>
      <c r="AFI14" s="206"/>
      <c r="AFJ14" s="103"/>
      <c r="AFK14" s="103"/>
      <c r="AFL14" s="103"/>
      <c r="AFM14" s="104"/>
      <c r="AFN14" s="102"/>
      <c r="AFO14" s="103"/>
      <c r="AFP14" s="103"/>
      <c r="AFQ14" s="103"/>
      <c r="AFR14" s="206" t="s">
        <v>32</v>
      </c>
      <c r="AFS14" s="206"/>
      <c r="AFT14" s="206"/>
      <c r="AFU14" s="206"/>
      <c r="AFV14" s="103"/>
      <c r="AFW14" s="103"/>
      <c r="AFX14" s="207" t="s">
        <v>22</v>
      </c>
      <c r="AFY14" s="207"/>
      <c r="AFZ14" s="207"/>
      <c r="AGA14" s="207"/>
      <c r="AGB14" s="128"/>
      <c r="AGC14" s="128"/>
      <c r="AGD14" s="206" t="s">
        <v>33</v>
      </c>
      <c r="AGE14" s="206"/>
      <c r="AGF14" s="206"/>
      <c r="AGG14" s="206"/>
      <c r="AGH14" s="103"/>
      <c r="AGI14" s="103"/>
      <c r="AGJ14" s="207" t="s">
        <v>23</v>
      </c>
      <c r="AGK14" s="207"/>
      <c r="AGL14" s="207"/>
      <c r="AGM14" s="207"/>
      <c r="AGN14" s="128"/>
      <c r="AGO14" s="128"/>
      <c r="AGP14" s="206" t="s">
        <v>34</v>
      </c>
      <c r="AGQ14" s="206"/>
      <c r="AGR14" s="206"/>
      <c r="AGS14" s="206"/>
      <c r="AGT14" s="103"/>
      <c r="AGU14" s="103"/>
      <c r="AGV14" s="207" t="s">
        <v>24</v>
      </c>
      <c r="AGW14" s="207"/>
      <c r="AGX14" s="207"/>
      <c r="AGY14" s="207"/>
      <c r="AGZ14" s="128"/>
      <c r="AHA14" s="128"/>
      <c r="AHB14" s="206" t="s">
        <v>35</v>
      </c>
      <c r="AHC14" s="206"/>
      <c r="AHD14" s="206"/>
      <c r="AHE14" s="206"/>
      <c r="AHF14" s="103"/>
      <c r="AHG14" s="103"/>
      <c r="AHH14" s="207" t="s">
        <v>25</v>
      </c>
      <c r="AHI14" s="207"/>
      <c r="AHJ14" s="207"/>
      <c r="AHK14" s="207"/>
      <c r="AHL14" s="128"/>
      <c r="AHM14" s="128"/>
      <c r="AHN14" s="206" t="s">
        <v>36</v>
      </c>
      <c r="AHO14" s="206"/>
      <c r="AHP14" s="206"/>
      <c r="AHQ14" s="206"/>
      <c r="AHR14" s="103"/>
      <c r="AHS14" s="103"/>
      <c r="AHT14" s="103"/>
      <c r="AHU14" s="104"/>
      <c r="AHV14" s="102"/>
      <c r="AHW14" s="103"/>
      <c r="AHX14" s="103"/>
      <c r="AHY14" s="103"/>
      <c r="AHZ14" s="206" t="s">
        <v>32</v>
      </c>
      <c r="AIA14" s="206"/>
      <c r="AIB14" s="206"/>
      <c r="AIC14" s="206"/>
      <c r="AID14" s="103"/>
      <c r="AIE14" s="103"/>
      <c r="AIF14" s="207" t="s">
        <v>22</v>
      </c>
      <c r="AIG14" s="207"/>
      <c r="AIH14" s="207"/>
      <c r="AII14" s="207"/>
      <c r="AIJ14" s="128"/>
      <c r="AIK14" s="128"/>
      <c r="AIL14" s="206" t="s">
        <v>33</v>
      </c>
      <c r="AIM14" s="206"/>
      <c r="AIN14" s="206"/>
      <c r="AIO14" s="206"/>
      <c r="AIP14" s="103"/>
      <c r="AIQ14" s="103"/>
      <c r="AIR14" s="207" t="s">
        <v>23</v>
      </c>
      <c r="AIS14" s="207"/>
      <c r="AIT14" s="207"/>
      <c r="AIU14" s="207"/>
      <c r="AIV14" s="128"/>
      <c r="AIW14" s="128"/>
      <c r="AIX14" s="206" t="s">
        <v>34</v>
      </c>
      <c r="AIY14" s="206"/>
      <c r="AIZ14" s="206"/>
      <c r="AJA14" s="206"/>
      <c r="AJB14" s="103"/>
      <c r="AJC14" s="103"/>
      <c r="AJD14" s="207" t="s">
        <v>24</v>
      </c>
      <c r="AJE14" s="207"/>
      <c r="AJF14" s="207"/>
      <c r="AJG14" s="207"/>
      <c r="AJH14" s="128"/>
      <c r="AJI14" s="128"/>
      <c r="AJJ14" s="206" t="s">
        <v>35</v>
      </c>
      <c r="AJK14" s="206"/>
      <c r="AJL14" s="206"/>
      <c r="AJM14" s="206"/>
      <c r="AJN14" s="103"/>
      <c r="AJO14" s="103"/>
      <c r="AJP14" s="207" t="s">
        <v>25</v>
      </c>
      <c r="AJQ14" s="207"/>
      <c r="AJR14" s="207"/>
      <c r="AJS14" s="207"/>
      <c r="AJT14" s="128"/>
      <c r="AJU14" s="128"/>
      <c r="AJV14" s="206" t="s">
        <v>36</v>
      </c>
      <c r="AJW14" s="206"/>
      <c r="AJX14" s="206"/>
      <c r="AJY14" s="206"/>
      <c r="AJZ14" s="103"/>
      <c r="AKA14" s="103"/>
      <c r="AKB14" s="103"/>
      <c r="AKC14" s="104"/>
      <c r="AKD14" s="102"/>
      <c r="AKE14" s="103"/>
      <c r="AKF14" s="103"/>
      <c r="AKG14" s="103"/>
      <c r="AKH14" s="206" t="s">
        <v>32</v>
      </c>
      <c r="AKI14" s="206"/>
      <c r="AKJ14" s="206"/>
      <c r="AKK14" s="206"/>
      <c r="AKL14" s="103"/>
      <c r="AKM14" s="103"/>
      <c r="AKN14" s="207" t="s">
        <v>22</v>
      </c>
      <c r="AKO14" s="207"/>
      <c r="AKP14" s="207"/>
      <c r="AKQ14" s="207"/>
      <c r="AKR14" s="128"/>
      <c r="AKS14" s="128"/>
      <c r="AKT14" s="206" t="s">
        <v>33</v>
      </c>
      <c r="AKU14" s="206"/>
      <c r="AKV14" s="206"/>
      <c r="AKW14" s="206"/>
      <c r="AKX14" s="103"/>
      <c r="AKY14" s="103"/>
      <c r="AKZ14" s="207" t="s">
        <v>23</v>
      </c>
      <c r="ALA14" s="207"/>
      <c r="ALB14" s="207"/>
      <c r="ALC14" s="207"/>
      <c r="ALD14" s="128"/>
      <c r="ALE14" s="128"/>
      <c r="ALF14" s="206" t="s">
        <v>34</v>
      </c>
      <c r="ALG14" s="206"/>
      <c r="ALH14" s="206"/>
      <c r="ALI14" s="206"/>
      <c r="ALJ14" s="103"/>
      <c r="ALK14" s="103"/>
      <c r="ALL14" s="207" t="s">
        <v>24</v>
      </c>
      <c r="ALM14" s="207"/>
      <c r="ALN14" s="207"/>
      <c r="ALO14" s="207"/>
      <c r="ALP14" s="128"/>
      <c r="ALQ14" s="128"/>
      <c r="ALR14" s="206" t="s">
        <v>35</v>
      </c>
      <c r="ALS14" s="206"/>
      <c r="ALT14" s="206"/>
      <c r="ALU14" s="206"/>
      <c r="ALV14" s="103"/>
      <c r="ALW14" s="103"/>
      <c r="ALX14" s="207" t="s">
        <v>25</v>
      </c>
      <c r="ALY14" s="207"/>
      <c r="ALZ14" s="207"/>
      <c r="AMA14" s="207"/>
      <c r="AMB14" s="128"/>
      <c r="AMC14" s="128"/>
      <c r="AMD14" s="206" t="s">
        <v>36</v>
      </c>
      <c r="AME14" s="206"/>
      <c r="AMF14" s="206"/>
      <c r="AMG14" s="206"/>
      <c r="AMH14" s="103"/>
      <c r="AMI14" s="103"/>
      <c r="AMJ14" s="103"/>
      <c r="AMK14" s="104"/>
      <c r="AML14" s="102"/>
      <c r="AMM14" s="103"/>
      <c r="AMN14" s="103"/>
      <c r="AMO14" s="103"/>
      <c r="AMP14" s="206" t="s">
        <v>32</v>
      </c>
      <c r="AMQ14" s="206"/>
      <c r="AMR14" s="206"/>
      <c r="AMS14" s="206"/>
      <c r="AMT14" s="103"/>
      <c r="AMU14" s="103"/>
      <c r="AMV14" s="207" t="s">
        <v>22</v>
      </c>
      <c r="AMW14" s="207"/>
      <c r="AMX14" s="207"/>
      <c r="AMY14" s="207"/>
      <c r="AMZ14" s="128"/>
      <c r="ANA14" s="128"/>
      <c r="ANB14" s="206" t="s">
        <v>33</v>
      </c>
      <c r="ANC14" s="206"/>
      <c r="AND14" s="206"/>
      <c r="ANE14" s="206"/>
      <c r="ANF14" s="103"/>
      <c r="ANG14" s="103"/>
      <c r="ANH14" s="207" t="s">
        <v>23</v>
      </c>
      <c r="ANI14" s="207"/>
      <c r="ANJ14" s="207"/>
      <c r="ANK14" s="207"/>
      <c r="ANL14" s="128"/>
      <c r="ANM14" s="128"/>
      <c r="ANN14" s="206" t="s">
        <v>34</v>
      </c>
      <c r="ANO14" s="206"/>
      <c r="ANP14" s="206"/>
      <c r="ANQ14" s="206"/>
      <c r="ANR14" s="103"/>
      <c r="ANS14" s="103"/>
      <c r="ANT14" s="207" t="s">
        <v>24</v>
      </c>
      <c r="ANU14" s="207"/>
      <c r="ANV14" s="207"/>
      <c r="ANW14" s="207"/>
      <c r="ANX14" s="128"/>
      <c r="ANY14" s="128"/>
      <c r="ANZ14" s="206" t="s">
        <v>35</v>
      </c>
      <c r="AOA14" s="206"/>
      <c r="AOB14" s="206"/>
      <c r="AOC14" s="206"/>
      <c r="AOD14" s="103"/>
      <c r="AOE14" s="103"/>
      <c r="AOF14" s="207" t="s">
        <v>25</v>
      </c>
      <c r="AOG14" s="207"/>
      <c r="AOH14" s="207"/>
      <c r="AOI14" s="207"/>
      <c r="AOJ14" s="128"/>
      <c r="AOK14" s="128"/>
      <c r="AOL14" s="206" t="s">
        <v>36</v>
      </c>
      <c r="AOM14" s="206"/>
      <c r="AON14" s="206"/>
      <c r="AOO14" s="206"/>
      <c r="AOP14" s="103"/>
      <c r="AOQ14" s="103"/>
      <c r="AOR14" s="103"/>
      <c r="AOS14" s="104"/>
      <c r="AOT14" s="89"/>
    </row>
    <row r="15" spans="1:1146" ht="20.100000000000001" customHeight="1">
      <c r="A15" s="99" t="s">
        <v>18</v>
      </c>
      <c r="B15" s="62" t="str">
        <f>IF(LEN(C15)=0,"",C15)</f>
        <v>Absences - imprévus -Séances</v>
      </c>
      <c r="C15" s="208"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247"/>
      <c r="ADX15" s="178"/>
      <c r="ADY15" s="178"/>
      <c r="ADZ15" s="178"/>
      <c r="AEA15" s="178"/>
      <c r="AEB15" s="178"/>
      <c r="AEC15" s="180"/>
      <c r="AED15" s="178"/>
      <c r="AEE15" s="178"/>
      <c r="AEF15" s="178"/>
      <c r="AEG15" s="178"/>
      <c r="AEH15" s="178"/>
      <c r="AEI15" s="247"/>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10"/>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248"/>
      <c r="AOU16" s="249"/>
      <c r="AOV16" s="249"/>
      <c r="AOW16" s="249"/>
      <c r="AOX16" s="249"/>
      <c r="AOY16" s="249"/>
      <c r="AOZ16" s="249"/>
      <c r="APA16" s="249"/>
      <c r="APB16" s="249"/>
      <c r="APC16" s="249"/>
      <c r="APD16" s="249"/>
      <c r="APE16" s="249"/>
      <c r="APF16" s="249"/>
      <c r="APG16" s="249"/>
      <c r="APH16" s="249"/>
      <c r="API16" s="249"/>
      <c r="APJ16" s="249"/>
      <c r="APK16" s="249"/>
      <c r="APL16" s="249"/>
      <c r="APM16" s="249"/>
      <c r="APN16" s="249"/>
      <c r="APO16" s="249"/>
      <c r="APP16" s="249"/>
      <c r="APQ16" s="249"/>
      <c r="APR16" s="249"/>
      <c r="APS16" s="249"/>
      <c r="APT16" s="249"/>
      <c r="APU16" s="249"/>
      <c r="APV16" s="249"/>
      <c r="APW16" s="249"/>
      <c r="APX16" s="249"/>
      <c r="APY16" s="249"/>
      <c r="APZ16" s="249"/>
      <c r="AQA16" s="249"/>
      <c r="AQB16" s="249"/>
      <c r="AQC16" s="249"/>
      <c r="AQD16" s="249"/>
      <c r="AQE16" s="249"/>
      <c r="AQF16" s="249"/>
      <c r="AQG16" s="249"/>
      <c r="AQH16" s="249"/>
      <c r="AQI16" s="249"/>
      <c r="AQJ16" s="249"/>
      <c r="AQK16" s="249"/>
      <c r="AQL16" s="249"/>
      <c r="AQM16" s="249"/>
      <c r="AQN16" s="249"/>
      <c r="AQO16" s="249"/>
      <c r="AQP16" s="249"/>
      <c r="AQQ16" s="249"/>
      <c r="AQR16" s="249"/>
      <c r="AQS16" s="249"/>
      <c r="AQT16" s="249"/>
      <c r="AQU16" s="249"/>
      <c r="AQV16" s="249"/>
      <c r="AQW16" s="249"/>
      <c r="AQX16" s="249"/>
      <c r="AQY16" s="249"/>
      <c r="AQZ16" s="249"/>
      <c r="ARA16" s="249"/>
    </row>
    <row r="17" spans="1:1145" ht="20.100000000000001" customHeight="1">
      <c r="A17" s="99" t="s">
        <v>18</v>
      </c>
      <c r="B17" s="62" t="str">
        <f>IF(LEN(C19)=0,"",C19)</f>
        <v>Doc - Rapport</v>
      </c>
      <c r="C17" s="208"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10"/>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248"/>
      <c r="AOU18" s="249"/>
      <c r="AOV18" s="249"/>
      <c r="AOW18" s="249"/>
      <c r="AOX18" s="249"/>
      <c r="AOY18" s="249"/>
      <c r="AOZ18" s="249"/>
      <c r="APA18" s="249"/>
      <c r="APB18" s="249"/>
      <c r="APC18" s="249"/>
      <c r="APD18" s="249"/>
      <c r="APE18" s="249"/>
      <c r="APF18" s="249"/>
      <c r="APG18" s="249"/>
      <c r="APH18" s="249"/>
      <c r="API18" s="249"/>
      <c r="APJ18" s="249"/>
      <c r="APK18" s="249"/>
      <c r="APL18" s="249"/>
      <c r="APM18" s="249"/>
      <c r="APN18" s="249"/>
      <c r="APO18" s="249"/>
      <c r="APP18" s="249"/>
      <c r="APQ18" s="249"/>
      <c r="APR18" s="249"/>
      <c r="APS18" s="249"/>
      <c r="APT18" s="249"/>
      <c r="APU18" s="249"/>
      <c r="APV18" s="249"/>
      <c r="APW18" s="249"/>
      <c r="APX18" s="249"/>
      <c r="APY18" s="249"/>
      <c r="APZ18" s="249"/>
      <c r="AQA18" s="249"/>
      <c r="AQB18" s="249"/>
      <c r="AQC18" s="249"/>
      <c r="AQD18" s="249"/>
      <c r="AQE18" s="249"/>
      <c r="AQF18" s="249"/>
      <c r="AQG18" s="249"/>
      <c r="AQH18" s="249"/>
      <c r="AQI18" s="249"/>
      <c r="AQJ18" s="249"/>
      <c r="AQK18" s="249"/>
      <c r="AQL18" s="249"/>
      <c r="AQM18" s="249"/>
      <c r="AQN18" s="249"/>
      <c r="AQO18" s="249"/>
      <c r="AQP18" s="249"/>
      <c r="AQQ18" s="249"/>
      <c r="AQR18" s="249"/>
      <c r="AQS18" s="249"/>
      <c r="AQT18" s="249"/>
      <c r="AQU18" s="249"/>
      <c r="AQV18" s="249"/>
      <c r="AQW18" s="249"/>
      <c r="AQX18" s="249"/>
      <c r="AQY18" s="249"/>
      <c r="AQZ18" s="249"/>
      <c r="ARA18" s="249"/>
    </row>
    <row r="19" spans="1:1145" ht="20.100000000000001" customHeight="1">
      <c r="A19" s="99" t="s">
        <v>18</v>
      </c>
      <c r="B19" s="62" t="str">
        <f>IF(LEN(C23)=0,"",C23)</f>
        <v>Doc - Planning</v>
      </c>
      <c r="C19" s="208"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09"/>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248"/>
      <c r="AOU20" s="249"/>
      <c r="AOV20" s="249"/>
      <c r="AOW20" s="249"/>
      <c r="AOX20" s="249"/>
      <c r="AOY20" s="249"/>
      <c r="AOZ20" s="249"/>
      <c r="APA20" s="249"/>
      <c r="APB20" s="249"/>
      <c r="APC20" s="249"/>
      <c r="APD20" s="249"/>
      <c r="APE20" s="249"/>
      <c r="APF20" s="249"/>
      <c r="APG20" s="249"/>
      <c r="APH20" s="249"/>
      <c r="API20" s="249"/>
      <c r="APJ20" s="249"/>
      <c r="APK20" s="249"/>
      <c r="APL20" s="249"/>
      <c r="APM20" s="249"/>
      <c r="APN20" s="249"/>
      <c r="APO20" s="249"/>
      <c r="APP20" s="249"/>
      <c r="APQ20" s="249"/>
      <c r="APR20" s="249"/>
      <c r="APS20" s="249"/>
      <c r="APT20" s="249"/>
      <c r="APU20" s="249"/>
      <c r="APV20" s="249"/>
      <c r="APW20" s="249"/>
      <c r="APX20" s="249"/>
      <c r="APY20" s="249"/>
      <c r="APZ20" s="249"/>
      <c r="AQA20" s="249"/>
      <c r="AQB20" s="249"/>
      <c r="AQC20" s="249"/>
      <c r="AQD20" s="249"/>
      <c r="AQE20" s="249"/>
      <c r="AQF20" s="249"/>
      <c r="AQG20" s="249"/>
      <c r="AQH20" s="249"/>
      <c r="AQI20" s="249"/>
      <c r="AQJ20" s="249"/>
      <c r="AQK20" s="249"/>
      <c r="AQL20" s="249"/>
      <c r="AQM20" s="249"/>
      <c r="AQN20" s="249"/>
      <c r="AQO20" s="249"/>
      <c r="AQP20" s="249"/>
      <c r="AQQ20" s="249"/>
      <c r="AQR20" s="249"/>
      <c r="AQS20" s="249"/>
      <c r="AQT20" s="249"/>
      <c r="AQU20" s="249"/>
      <c r="AQV20" s="249"/>
      <c r="AQW20" s="249"/>
      <c r="AQX20" s="249"/>
      <c r="AQY20" s="249"/>
      <c r="AQZ20" s="249"/>
      <c r="ARA20" s="249"/>
    </row>
    <row r="21" spans="1:1145" ht="20.100000000000001" customHeight="1">
      <c r="A21" s="99" t="s">
        <v>18</v>
      </c>
      <c r="B21" s="62" t="str">
        <f>IF(LEN(C27)=0,"",C27)</f>
        <v>App - Création de comptes</v>
      </c>
      <c r="C21" s="208"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09"/>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248"/>
      <c r="AOU22" s="249"/>
      <c r="AOV22" s="249"/>
      <c r="AOW22" s="249"/>
      <c r="AOX22" s="249"/>
      <c r="AOY22" s="249"/>
      <c r="AOZ22" s="249"/>
      <c r="APA22" s="249"/>
      <c r="APB22" s="249"/>
      <c r="APC22" s="249"/>
      <c r="APD22" s="249"/>
      <c r="APE22" s="249"/>
      <c r="APF22" s="249"/>
      <c r="APG22" s="249"/>
      <c r="APH22" s="249"/>
      <c r="API22" s="249"/>
      <c r="APJ22" s="249"/>
      <c r="APK22" s="249"/>
      <c r="APL22" s="249"/>
      <c r="APM22" s="249"/>
      <c r="APN22" s="249"/>
      <c r="APO22" s="249"/>
      <c r="APP22" s="249"/>
      <c r="APQ22" s="249"/>
      <c r="APR22" s="249"/>
      <c r="APS22" s="249"/>
      <c r="APT22" s="249"/>
      <c r="APU22" s="249"/>
      <c r="APV22" s="249"/>
      <c r="APW22" s="249"/>
      <c r="APX22" s="249"/>
      <c r="APY22" s="249"/>
      <c r="APZ22" s="249"/>
      <c r="AQA22" s="249"/>
      <c r="AQB22" s="249"/>
      <c r="AQC22" s="249"/>
      <c r="AQD22" s="249"/>
      <c r="AQE22" s="249"/>
      <c r="AQF22" s="249"/>
      <c r="AQG22" s="249"/>
      <c r="AQH22" s="249"/>
      <c r="AQI22" s="249"/>
      <c r="AQJ22" s="249"/>
      <c r="AQK22" s="249"/>
      <c r="AQL22" s="249"/>
      <c r="AQM22" s="249"/>
      <c r="AQN22" s="249"/>
      <c r="AQO22" s="249"/>
      <c r="AQP22" s="249"/>
      <c r="AQQ22" s="249"/>
      <c r="AQR22" s="249"/>
      <c r="AQS22" s="249"/>
      <c r="AQT22" s="249"/>
      <c r="AQU22" s="249"/>
      <c r="AQV22" s="249"/>
      <c r="AQW22" s="249"/>
      <c r="AQX22" s="249"/>
      <c r="AQY22" s="249"/>
      <c r="AQZ22" s="249"/>
      <c r="ARA22" s="249"/>
    </row>
    <row r="23" spans="1:1145" ht="20.100000000000001" customHeight="1">
      <c r="A23" s="99" t="s">
        <v>18</v>
      </c>
      <c r="B23" s="62" t="str">
        <f>IF(LEN(C31)=0,"",C31)</f>
        <v>App - Système de recherche</v>
      </c>
      <c r="C23" s="208"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10"/>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248"/>
      <c r="AOU24" s="249"/>
      <c r="AOV24" s="249"/>
      <c r="AOW24" s="249"/>
      <c r="AOX24" s="249"/>
      <c r="AOY24" s="249"/>
      <c r="AOZ24" s="249"/>
      <c r="APA24" s="249"/>
      <c r="APB24" s="249"/>
      <c r="APC24" s="249"/>
      <c r="APD24" s="249"/>
      <c r="APE24" s="249"/>
      <c r="APF24" s="249"/>
      <c r="APG24" s="249"/>
      <c r="APH24" s="249"/>
      <c r="API24" s="249"/>
      <c r="APJ24" s="249"/>
      <c r="APK24" s="249"/>
      <c r="APL24" s="249"/>
      <c r="APM24" s="249"/>
      <c r="APN24" s="249"/>
      <c r="APO24" s="249"/>
      <c r="APP24" s="249"/>
      <c r="APQ24" s="249"/>
      <c r="APR24" s="249"/>
      <c r="APS24" s="249"/>
      <c r="APT24" s="249"/>
      <c r="APU24" s="249"/>
      <c r="APV24" s="249"/>
      <c r="APW24" s="249"/>
      <c r="APX24" s="249"/>
      <c r="APY24" s="249"/>
      <c r="APZ24" s="249"/>
      <c r="AQA24" s="249"/>
      <c r="AQB24" s="249"/>
      <c r="AQC24" s="249"/>
      <c r="AQD24" s="249"/>
      <c r="AQE24" s="249"/>
      <c r="AQF24" s="249"/>
      <c r="AQG24" s="249"/>
      <c r="AQH24" s="249"/>
      <c r="AQI24" s="249"/>
      <c r="AQJ24" s="249"/>
      <c r="AQK24" s="249"/>
      <c r="AQL24" s="249"/>
      <c r="AQM24" s="249"/>
      <c r="AQN24" s="249"/>
      <c r="AQO24" s="249"/>
      <c r="AQP24" s="249"/>
      <c r="AQQ24" s="249"/>
      <c r="AQR24" s="249"/>
      <c r="AQS24" s="249"/>
      <c r="AQT24" s="249"/>
      <c r="AQU24" s="249"/>
      <c r="AQV24" s="249"/>
      <c r="AQW24" s="249"/>
      <c r="AQX24" s="249"/>
      <c r="AQY24" s="249"/>
      <c r="AQZ24" s="249"/>
      <c r="ARA24" s="249"/>
    </row>
    <row r="25" spans="1:1145" ht="20.100000000000001" customHeight="1">
      <c r="A25" s="99" t="s">
        <v>18</v>
      </c>
      <c r="B25" s="62" t="str">
        <f>IF(LEN(C35)=0,"",C35)</f>
        <v>App - Compte recherche uniqu.</v>
      </c>
      <c r="C25" s="208"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09"/>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248"/>
      <c r="AOU26" s="249"/>
      <c r="AOV26" s="249"/>
      <c r="AOW26" s="249"/>
      <c r="AOX26" s="249"/>
      <c r="AOY26" s="249"/>
      <c r="AOZ26" s="249"/>
      <c r="APA26" s="249"/>
      <c r="APB26" s="249"/>
      <c r="APC26" s="249"/>
      <c r="APD26" s="249"/>
      <c r="APE26" s="249"/>
      <c r="APF26" s="249"/>
      <c r="APG26" s="249"/>
      <c r="APH26" s="249"/>
      <c r="API26" s="249"/>
      <c r="APJ26" s="249"/>
      <c r="APK26" s="249"/>
      <c r="APL26" s="249"/>
      <c r="APM26" s="249"/>
      <c r="APN26" s="249"/>
      <c r="APO26" s="249"/>
      <c r="APP26" s="249"/>
      <c r="APQ26" s="249"/>
      <c r="APR26" s="249"/>
      <c r="APS26" s="249"/>
      <c r="APT26" s="249"/>
      <c r="APU26" s="249"/>
      <c r="APV26" s="249"/>
      <c r="APW26" s="249"/>
      <c r="APX26" s="249"/>
      <c r="APY26" s="249"/>
      <c r="APZ26" s="249"/>
      <c r="AQA26" s="249"/>
      <c r="AQB26" s="249"/>
      <c r="AQC26" s="249"/>
      <c r="AQD26" s="249"/>
      <c r="AQE26" s="249"/>
      <c r="AQF26" s="249"/>
      <c r="AQG26" s="249"/>
      <c r="AQH26" s="249"/>
      <c r="AQI26" s="249"/>
      <c r="AQJ26" s="249"/>
      <c r="AQK26" s="249"/>
      <c r="AQL26" s="249"/>
      <c r="AQM26" s="249"/>
      <c r="AQN26" s="249"/>
      <c r="AQO26" s="249"/>
      <c r="AQP26" s="249"/>
      <c r="AQQ26" s="249"/>
      <c r="AQR26" s="249"/>
      <c r="AQS26" s="249"/>
      <c r="AQT26" s="249"/>
      <c r="AQU26" s="249"/>
      <c r="AQV26" s="249"/>
      <c r="AQW26" s="249"/>
      <c r="AQX26" s="249"/>
      <c r="AQY26" s="249"/>
      <c r="AQZ26" s="249"/>
      <c r="ARA26" s="249"/>
    </row>
    <row r="27" spans="1:1145" ht="20.100000000000001" customHeight="1">
      <c r="A27" s="99" t="s">
        <v>18</v>
      </c>
      <c r="B27" s="62" t="str">
        <f>IF(LEN(C39)=0,"",C39)</f>
        <v>Data - Création de la base de données</v>
      </c>
      <c r="C27" s="208"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09"/>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248"/>
      <c r="AOU28" s="249"/>
      <c r="AOV28" s="249"/>
      <c r="AOW28" s="249"/>
      <c r="AOX28" s="249"/>
      <c r="AOY28" s="249"/>
      <c r="AOZ28" s="249"/>
      <c r="APA28" s="249"/>
      <c r="APB28" s="249"/>
      <c r="APC28" s="249"/>
      <c r="APD28" s="249"/>
      <c r="APE28" s="249"/>
      <c r="APF28" s="249"/>
      <c r="APG28" s="249"/>
      <c r="APH28" s="249"/>
      <c r="API28" s="249"/>
      <c r="APJ28" s="249"/>
      <c r="APK28" s="249"/>
      <c r="APL28" s="249"/>
      <c r="APM28" s="249"/>
      <c r="APN28" s="249"/>
      <c r="APO28" s="249"/>
      <c r="APP28" s="249"/>
      <c r="APQ28" s="249"/>
      <c r="APR28" s="249"/>
      <c r="APS28" s="249"/>
      <c r="APT28" s="249"/>
      <c r="APU28" s="249"/>
      <c r="APV28" s="249"/>
      <c r="APW28" s="249"/>
      <c r="APX28" s="249"/>
      <c r="APY28" s="249"/>
      <c r="APZ28" s="249"/>
      <c r="AQA28" s="249"/>
      <c r="AQB28" s="249"/>
      <c r="AQC28" s="249"/>
      <c r="AQD28" s="249"/>
      <c r="AQE28" s="249"/>
      <c r="AQF28" s="249"/>
      <c r="AQG28" s="249"/>
      <c r="AQH28" s="249"/>
      <c r="AQI28" s="249"/>
      <c r="AQJ28" s="249"/>
      <c r="AQK28" s="249"/>
      <c r="AQL28" s="249"/>
      <c r="AQM28" s="249"/>
      <c r="AQN28" s="249"/>
      <c r="AQO28" s="249"/>
      <c r="AQP28" s="249"/>
      <c r="AQQ28" s="249"/>
      <c r="AQR28" s="249"/>
      <c r="AQS28" s="249"/>
      <c r="AQT28" s="249"/>
      <c r="AQU28" s="249"/>
      <c r="AQV28" s="249"/>
      <c r="AQW28" s="249"/>
      <c r="AQX28" s="249"/>
      <c r="AQY28" s="249"/>
      <c r="AQZ28" s="249"/>
      <c r="ARA28" s="249"/>
    </row>
    <row r="29" spans="1:1145" ht="20.100000000000001" customHeight="1">
      <c r="A29" s="99" t="s">
        <v>18</v>
      </c>
      <c r="B29" s="62" t="str">
        <f>IF(LEN(C43)=0,"",C43)</f>
        <v>App - Design du site</v>
      </c>
      <c r="C29" s="208"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09"/>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248"/>
      <c r="AOU30" s="249"/>
      <c r="AOV30" s="249"/>
      <c r="AOW30" s="249"/>
      <c r="AOX30" s="249"/>
      <c r="AOY30" s="249"/>
      <c r="AOZ30" s="249"/>
      <c r="APA30" s="249"/>
      <c r="APB30" s="249"/>
      <c r="APC30" s="249"/>
      <c r="APD30" s="249"/>
      <c r="APE30" s="249"/>
      <c r="APF30" s="249"/>
      <c r="APG30" s="249"/>
      <c r="APH30" s="249"/>
      <c r="API30" s="249"/>
      <c r="APJ30" s="249"/>
      <c r="APK30" s="249"/>
      <c r="APL30" s="249"/>
      <c r="APM30" s="249"/>
      <c r="APN30" s="249"/>
      <c r="APO30" s="249"/>
      <c r="APP30" s="249"/>
      <c r="APQ30" s="249"/>
      <c r="APR30" s="249"/>
      <c r="APS30" s="249"/>
      <c r="APT30" s="249"/>
      <c r="APU30" s="249"/>
      <c r="APV30" s="249"/>
      <c r="APW30" s="249"/>
      <c r="APX30" s="249"/>
      <c r="APY30" s="249"/>
      <c r="APZ30" s="249"/>
      <c r="AQA30" s="249"/>
      <c r="AQB30" s="249"/>
      <c r="AQC30" s="249"/>
      <c r="AQD30" s="249"/>
      <c r="AQE30" s="249"/>
      <c r="AQF30" s="249"/>
      <c r="AQG30" s="249"/>
      <c r="AQH30" s="249"/>
      <c r="AQI30" s="249"/>
      <c r="AQJ30" s="249"/>
      <c r="AQK30" s="249"/>
      <c r="AQL30" s="249"/>
      <c r="AQM30" s="249"/>
      <c r="AQN30" s="249"/>
      <c r="AQO30" s="249"/>
      <c r="AQP30" s="249"/>
      <c r="AQQ30" s="249"/>
      <c r="AQR30" s="249"/>
      <c r="AQS30" s="249"/>
      <c r="AQT30" s="249"/>
      <c r="AQU30" s="249"/>
      <c r="AQV30" s="249"/>
      <c r="AQW30" s="249"/>
      <c r="AQX30" s="249"/>
      <c r="AQY30" s="249"/>
      <c r="AQZ30" s="249"/>
      <c r="ARA30" s="249"/>
    </row>
    <row r="31" spans="1:1145" ht="20.100000000000001" customHeight="1">
      <c r="A31" s="99" t="s">
        <v>18</v>
      </c>
      <c r="B31" s="62" t="str">
        <f>IF(LEN(C47)=0,"",C47)</f>
        <v>App - Création compte recherche</v>
      </c>
      <c r="C31" s="208"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
      </c>
      <c r="C32" s="209"/>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248"/>
      <c r="AOU32" s="249"/>
      <c r="AOV32" s="249"/>
      <c r="AOW32" s="249"/>
      <c r="AOX32" s="249"/>
      <c r="AOY32" s="249"/>
      <c r="AOZ32" s="249"/>
      <c r="APA32" s="249"/>
      <c r="APB32" s="249"/>
      <c r="APC32" s="249"/>
      <c r="APD32" s="249"/>
      <c r="APE32" s="249"/>
      <c r="APF32" s="249"/>
      <c r="APG32" s="249"/>
      <c r="APH32" s="249"/>
      <c r="API32" s="249"/>
      <c r="APJ32" s="249"/>
      <c r="APK32" s="249"/>
      <c r="APL32" s="249"/>
      <c r="APM32" s="249"/>
      <c r="APN32" s="249"/>
      <c r="APO32" s="249"/>
      <c r="APP32" s="249"/>
      <c r="APQ32" s="249"/>
      <c r="APR32" s="249"/>
      <c r="APS32" s="249"/>
      <c r="APT32" s="249"/>
      <c r="APU32" s="249"/>
      <c r="APV32" s="249"/>
      <c r="APW32" s="249"/>
      <c r="APX32" s="249"/>
      <c r="APY32" s="249"/>
      <c r="APZ32" s="249"/>
      <c r="AQA32" s="249"/>
      <c r="AQB32" s="249"/>
      <c r="AQC32" s="249"/>
      <c r="AQD32" s="249"/>
      <c r="AQE32" s="249"/>
      <c r="AQF32" s="249"/>
      <c r="AQG32" s="249"/>
      <c r="AQH32" s="249"/>
      <c r="AQI32" s="249"/>
      <c r="AQJ32" s="249"/>
      <c r="AQK32" s="249"/>
      <c r="AQL32" s="249"/>
      <c r="AQM32" s="249"/>
      <c r="AQN32" s="249"/>
      <c r="AQO32" s="249"/>
      <c r="AQP32" s="249"/>
      <c r="AQQ32" s="249"/>
      <c r="AQR32" s="249"/>
      <c r="AQS32" s="249"/>
      <c r="AQT32" s="249"/>
      <c r="AQU32" s="249"/>
      <c r="AQV32" s="249"/>
      <c r="AQW32" s="249"/>
      <c r="AQX32" s="249"/>
      <c r="AQY32" s="249"/>
      <c r="AQZ32" s="249"/>
      <c r="ARA32" s="249"/>
    </row>
    <row r="33" spans="1:1145" ht="20.100000000000001" customHeight="1">
      <c r="A33" s="99" t="s">
        <v>18</v>
      </c>
      <c r="B33" s="62" t="str">
        <f>IF(LEN(C51)=0,"",C51)</f>
        <v/>
      </c>
      <c r="C33" s="208"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
      </c>
      <c r="C34" s="209"/>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248"/>
      <c r="AOU34" s="249"/>
      <c r="AOV34" s="249"/>
      <c r="AOW34" s="249"/>
      <c r="AOX34" s="249"/>
      <c r="AOY34" s="249"/>
      <c r="AOZ34" s="249"/>
      <c r="APA34" s="249"/>
      <c r="APB34" s="249"/>
      <c r="APC34" s="249"/>
      <c r="APD34" s="249"/>
      <c r="APE34" s="249"/>
      <c r="APF34" s="249"/>
      <c r="APG34" s="249"/>
      <c r="APH34" s="249"/>
      <c r="API34" s="249"/>
      <c r="APJ34" s="249"/>
      <c r="APK34" s="249"/>
      <c r="APL34" s="249"/>
      <c r="APM34" s="249"/>
      <c r="APN34" s="249"/>
      <c r="APO34" s="249"/>
      <c r="APP34" s="249"/>
      <c r="APQ34" s="249"/>
      <c r="APR34" s="249"/>
      <c r="APS34" s="249"/>
      <c r="APT34" s="249"/>
      <c r="APU34" s="249"/>
      <c r="APV34" s="249"/>
      <c r="APW34" s="249"/>
      <c r="APX34" s="249"/>
      <c r="APY34" s="249"/>
      <c r="APZ34" s="249"/>
      <c r="AQA34" s="249"/>
      <c r="AQB34" s="249"/>
      <c r="AQC34" s="249"/>
      <c r="AQD34" s="249"/>
      <c r="AQE34" s="249"/>
      <c r="AQF34" s="249"/>
      <c r="AQG34" s="249"/>
      <c r="AQH34" s="249"/>
      <c r="AQI34" s="249"/>
      <c r="AQJ34" s="249"/>
      <c r="AQK34" s="249"/>
      <c r="AQL34" s="249"/>
      <c r="AQM34" s="249"/>
      <c r="AQN34" s="249"/>
      <c r="AQO34" s="249"/>
      <c r="AQP34" s="249"/>
      <c r="AQQ34" s="249"/>
      <c r="AQR34" s="249"/>
      <c r="AQS34" s="249"/>
      <c r="AQT34" s="249"/>
      <c r="AQU34" s="249"/>
      <c r="AQV34" s="249"/>
      <c r="AQW34" s="249"/>
      <c r="AQX34" s="249"/>
      <c r="AQY34" s="249"/>
      <c r="AQZ34" s="249"/>
      <c r="ARA34" s="249"/>
    </row>
    <row r="35" spans="1:1145" ht="20.100000000000001" customHeight="1">
      <c r="A35" s="99" t="s">
        <v>18</v>
      </c>
      <c r="B35" s="62" t="str">
        <f>IF(LEN(C55)=0,"",C55)</f>
        <v/>
      </c>
      <c r="C35" s="208"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09"/>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248"/>
      <c r="AOU36" s="249"/>
      <c r="AOV36" s="249"/>
      <c r="AOW36" s="249"/>
      <c r="AOX36" s="249"/>
      <c r="AOY36" s="249"/>
      <c r="AOZ36" s="249"/>
      <c r="APA36" s="249"/>
      <c r="APB36" s="249"/>
      <c r="APC36" s="249"/>
      <c r="APD36" s="249"/>
      <c r="APE36" s="249"/>
      <c r="APF36" s="249"/>
      <c r="APG36" s="249"/>
      <c r="APH36" s="249"/>
      <c r="API36" s="249"/>
      <c r="APJ36" s="249"/>
      <c r="APK36" s="249"/>
      <c r="APL36" s="249"/>
      <c r="APM36" s="249"/>
      <c r="APN36" s="249"/>
      <c r="APO36" s="249"/>
      <c r="APP36" s="249"/>
      <c r="APQ36" s="249"/>
      <c r="APR36" s="249"/>
      <c r="APS36" s="249"/>
      <c r="APT36" s="249"/>
      <c r="APU36" s="249"/>
      <c r="APV36" s="249"/>
      <c r="APW36" s="249"/>
      <c r="APX36" s="249"/>
      <c r="APY36" s="249"/>
      <c r="APZ36" s="249"/>
      <c r="AQA36" s="249"/>
      <c r="AQB36" s="249"/>
      <c r="AQC36" s="249"/>
      <c r="AQD36" s="249"/>
      <c r="AQE36" s="249"/>
      <c r="AQF36" s="249"/>
      <c r="AQG36" s="249"/>
      <c r="AQH36" s="249"/>
      <c r="AQI36" s="249"/>
      <c r="AQJ36" s="249"/>
      <c r="AQK36" s="249"/>
      <c r="AQL36" s="249"/>
      <c r="AQM36" s="249"/>
      <c r="AQN36" s="249"/>
      <c r="AQO36" s="249"/>
      <c r="AQP36" s="249"/>
      <c r="AQQ36" s="249"/>
      <c r="AQR36" s="249"/>
      <c r="AQS36" s="249"/>
      <c r="AQT36" s="249"/>
      <c r="AQU36" s="249"/>
      <c r="AQV36" s="249"/>
      <c r="AQW36" s="249"/>
      <c r="AQX36" s="249"/>
      <c r="AQY36" s="249"/>
      <c r="AQZ36" s="249"/>
      <c r="ARA36" s="249"/>
    </row>
    <row r="37" spans="1:1145" ht="20.100000000000001" customHeight="1">
      <c r="A37" s="99" t="s">
        <v>18</v>
      </c>
      <c r="B37" s="62" t="str">
        <f>IF(LEN(C59)=0,"",C59)</f>
        <v/>
      </c>
      <c r="C37" s="208"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09"/>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248"/>
      <c r="AOU38" s="249"/>
      <c r="AOV38" s="249"/>
      <c r="AOW38" s="249"/>
      <c r="AOX38" s="249"/>
      <c r="AOY38" s="249"/>
      <c r="AOZ38" s="249"/>
      <c r="APA38" s="249"/>
      <c r="APB38" s="249"/>
      <c r="APC38" s="249"/>
      <c r="APD38" s="249"/>
      <c r="APE38" s="249"/>
      <c r="APF38" s="249"/>
      <c r="APG38" s="249"/>
      <c r="APH38" s="249"/>
      <c r="API38" s="249"/>
      <c r="APJ38" s="249"/>
      <c r="APK38" s="249"/>
      <c r="APL38" s="249"/>
      <c r="APM38" s="249"/>
      <c r="APN38" s="249"/>
      <c r="APO38" s="249"/>
      <c r="APP38" s="249"/>
      <c r="APQ38" s="249"/>
      <c r="APR38" s="249"/>
      <c r="APS38" s="249"/>
      <c r="APT38" s="249"/>
      <c r="APU38" s="249"/>
      <c r="APV38" s="249"/>
      <c r="APW38" s="249"/>
      <c r="APX38" s="249"/>
      <c r="APY38" s="249"/>
      <c r="APZ38" s="249"/>
      <c r="AQA38" s="249"/>
      <c r="AQB38" s="249"/>
      <c r="AQC38" s="249"/>
      <c r="AQD38" s="249"/>
      <c r="AQE38" s="249"/>
      <c r="AQF38" s="249"/>
      <c r="AQG38" s="249"/>
      <c r="AQH38" s="249"/>
      <c r="AQI38" s="249"/>
      <c r="AQJ38" s="249"/>
      <c r="AQK38" s="249"/>
      <c r="AQL38" s="249"/>
      <c r="AQM38" s="249"/>
      <c r="AQN38" s="249"/>
      <c r="AQO38" s="249"/>
      <c r="AQP38" s="249"/>
      <c r="AQQ38" s="249"/>
      <c r="AQR38" s="249"/>
      <c r="AQS38" s="249"/>
      <c r="AQT38" s="249"/>
      <c r="AQU38" s="249"/>
      <c r="AQV38" s="249"/>
      <c r="AQW38" s="249"/>
      <c r="AQX38" s="249"/>
      <c r="AQY38" s="249"/>
      <c r="AQZ38" s="249"/>
      <c r="ARA38" s="249"/>
    </row>
    <row r="39" spans="1:1145" ht="20.100000000000001" customHeight="1">
      <c r="A39" s="99" t="s">
        <v>18</v>
      </c>
      <c r="B39" s="62" t="str">
        <f>IF(LEN(C63)=0,"",C63)</f>
        <v/>
      </c>
      <c r="C39" s="208"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09"/>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248"/>
      <c r="AOU40" s="249"/>
      <c r="AOV40" s="249"/>
      <c r="AOW40" s="249"/>
      <c r="AOX40" s="249"/>
      <c r="AOY40" s="249"/>
      <c r="AOZ40" s="249"/>
      <c r="APA40" s="249"/>
      <c r="APB40" s="249"/>
      <c r="APC40" s="249"/>
      <c r="APD40" s="249"/>
      <c r="APE40" s="249"/>
      <c r="APF40" s="249"/>
      <c r="APG40" s="249"/>
      <c r="APH40" s="249"/>
      <c r="API40" s="249"/>
      <c r="APJ40" s="249"/>
      <c r="APK40" s="249"/>
      <c r="APL40" s="249"/>
      <c r="APM40" s="249"/>
      <c r="APN40" s="249"/>
      <c r="APO40" s="249"/>
      <c r="APP40" s="249"/>
      <c r="APQ40" s="249"/>
      <c r="APR40" s="249"/>
      <c r="APS40" s="249"/>
      <c r="APT40" s="249"/>
      <c r="APU40" s="249"/>
      <c r="APV40" s="249"/>
      <c r="APW40" s="249"/>
      <c r="APX40" s="249"/>
      <c r="APY40" s="249"/>
      <c r="APZ40" s="249"/>
      <c r="AQA40" s="249"/>
      <c r="AQB40" s="249"/>
      <c r="AQC40" s="249"/>
      <c r="AQD40" s="249"/>
      <c r="AQE40" s="249"/>
      <c r="AQF40" s="249"/>
      <c r="AQG40" s="249"/>
      <c r="AQH40" s="249"/>
      <c r="AQI40" s="249"/>
      <c r="AQJ40" s="249"/>
      <c r="AQK40" s="249"/>
      <c r="AQL40" s="249"/>
      <c r="AQM40" s="249"/>
      <c r="AQN40" s="249"/>
      <c r="AQO40" s="249"/>
      <c r="AQP40" s="249"/>
      <c r="AQQ40" s="249"/>
      <c r="AQR40" s="249"/>
      <c r="AQS40" s="249"/>
      <c r="AQT40" s="249"/>
      <c r="AQU40" s="249"/>
      <c r="AQV40" s="249"/>
      <c r="AQW40" s="249"/>
      <c r="AQX40" s="249"/>
      <c r="AQY40" s="249"/>
      <c r="AQZ40" s="249"/>
      <c r="ARA40" s="249"/>
    </row>
    <row r="41" spans="1:1145" ht="20.100000000000001" customHeight="1">
      <c r="A41" s="99" t="s">
        <v>18</v>
      </c>
      <c r="B41" s="62" t="str">
        <f>IF(LEN(C67)=0,"",C67)</f>
        <v/>
      </c>
      <c r="C41" s="208"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09"/>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248"/>
      <c r="AOU42" s="249"/>
      <c r="AOV42" s="249"/>
      <c r="AOW42" s="249"/>
      <c r="AOX42" s="249"/>
      <c r="AOY42" s="249"/>
      <c r="AOZ42" s="249"/>
      <c r="APA42" s="249"/>
      <c r="APB42" s="249"/>
      <c r="APC42" s="249"/>
      <c r="APD42" s="249"/>
      <c r="APE42" s="249"/>
      <c r="APF42" s="249"/>
      <c r="APG42" s="249"/>
      <c r="APH42" s="249"/>
      <c r="API42" s="249"/>
      <c r="APJ42" s="249"/>
      <c r="APK42" s="249"/>
      <c r="APL42" s="249"/>
      <c r="APM42" s="249"/>
      <c r="APN42" s="249"/>
      <c r="APO42" s="249"/>
      <c r="APP42" s="249"/>
      <c r="APQ42" s="249"/>
      <c r="APR42" s="249"/>
      <c r="APS42" s="249"/>
      <c r="APT42" s="249"/>
      <c r="APU42" s="249"/>
      <c r="APV42" s="249"/>
      <c r="APW42" s="249"/>
      <c r="APX42" s="249"/>
      <c r="APY42" s="249"/>
      <c r="APZ42" s="249"/>
      <c r="AQA42" s="249"/>
      <c r="AQB42" s="249"/>
      <c r="AQC42" s="249"/>
      <c r="AQD42" s="249"/>
      <c r="AQE42" s="249"/>
      <c r="AQF42" s="249"/>
      <c r="AQG42" s="249"/>
      <c r="AQH42" s="249"/>
      <c r="AQI42" s="249"/>
      <c r="AQJ42" s="249"/>
      <c r="AQK42" s="249"/>
      <c r="AQL42" s="249"/>
      <c r="AQM42" s="249"/>
      <c r="AQN42" s="249"/>
      <c r="AQO42" s="249"/>
      <c r="AQP42" s="249"/>
      <c r="AQQ42" s="249"/>
      <c r="AQR42" s="249"/>
      <c r="AQS42" s="249"/>
      <c r="AQT42" s="249"/>
      <c r="AQU42" s="249"/>
      <c r="AQV42" s="249"/>
      <c r="AQW42" s="249"/>
      <c r="AQX42" s="249"/>
      <c r="AQY42" s="249"/>
      <c r="AQZ42" s="249"/>
      <c r="ARA42" s="249"/>
    </row>
    <row r="43" spans="1:1145" ht="20.100000000000001" customHeight="1">
      <c r="A43" s="99" t="s">
        <v>18</v>
      </c>
      <c r="B43" s="62" t="str">
        <f>IF(LEN(C71)=0,"",C71)</f>
        <v/>
      </c>
      <c r="C43" s="208"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09"/>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248"/>
      <c r="AOU44" s="249"/>
      <c r="AOV44" s="249"/>
      <c r="AOW44" s="249"/>
      <c r="AOX44" s="249"/>
      <c r="AOY44" s="249"/>
      <c r="AOZ44" s="249"/>
      <c r="APA44" s="249"/>
      <c r="APB44" s="249"/>
      <c r="APC44" s="249"/>
      <c r="APD44" s="249"/>
      <c r="APE44" s="249"/>
      <c r="APF44" s="249"/>
      <c r="APG44" s="249"/>
      <c r="APH44" s="249"/>
      <c r="API44" s="249"/>
      <c r="APJ44" s="249"/>
      <c r="APK44" s="249"/>
      <c r="APL44" s="249"/>
      <c r="APM44" s="249"/>
      <c r="APN44" s="249"/>
      <c r="APO44" s="249"/>
      <c r="APP44" s="249"/>
      <c r="APQ44" s="249"/>
      <c r="APR44" s="249"/>
      <c r="APS44" s="249"/>
      <c r="APT44" s="249"/>
      <c r="APU44" s="249"/>
      <c r="APV44" s="249"/>
      <c r="APW44" s="249"/>
      <c r="APX44" s="249"/>
      <c r="APY44" s="249"/>
      <c r="APZ44" s="249"/>
      <c r="AQA44" s="249"/>
      <c r="AQB44" s="249"/>
      <c r="AQC44" s="249"/>
      <c r="AQD44" s="249"/>
      <c r="AQE44" s="249"/>
      <c r="AQF44" s="249"/>
      <c r="AQG44" s="249"/>
      <c r="AQH44" s="249"/>
      <c r="AQI44" s="249"/>
      <c r="AQJ44" s="249"/>
      <c r="AQK44" s="249"/>
      <c r="AQL44" s="249"/>
      <c r="AQM44" s="249"/>
      <c r="AQN44" s="249"/>
      <c r="AQO44" s="249"/>
      <c r="AQP44" s="249"/>
      <c r="AQQ44" s="249"/>
      <c r="AQR44" s="249"/>
      <c r="AQS44" s="249"/>
      <c r="AQT44" s="249"/>
      <c r="AQU44" s="249"/>
      <c r="AQV44" s="249"/>
      <c r="AQW44" s="249"/>
      <c r="AQX44" s="249"/>
      <c r="AQY44" s="249"/>
      <c r="AQZ44" s="249"/>
      <c r="ARA44" s="249"/>
    </row>
    <row r="45" spans="1:1145" ht="20.100000000000001" customHeight="1">
      <c r="A45" s="99" t="s">
        <v>18</v>
      </c>
      <c r="B45" s="62" t="str">
        <f>IF(LEN(C75)=0,"",C75)</f>
        <v/>
      </c>
      <c r="C45" s="208"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09"/>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248"/>
      <c r="AOU46" s="249"/>
      <c r="AOV46" s="249"/>
      <c r="AOW46" s="249"/>
      <c r="AOX46" s="249"/>
      <c r="AOY46" s="249"/>
      <c r="AOZ46" s="249"/>
      <c r="APA46" s="249"/>
      <c r="APB46" s="249"/>
      <c r="APC46" s="249"/>
      <c r="APD46" s="249"/>
      <c r="APE46" s="249"/>
      <c r="APF46" s="249"/>
      <c r="APG46" s="249"/>
      <c r="APH46" s="249"/>
      <c r="API46" s="249"/>
      <c r="APJ46" s="249"/>
      <c r="APK46" s="249"/>
      <c r="APL46" s="249"/>
      <c r="APM46" s="249"/>
      <c r="APN46" s="249"/>
      <c r="APO46" s="249"/>
      <c r="APP46" s="249"/>
      <c r="APQ46" s="249"/>
      <c r="APR46" s="249"/>
      <c r="APS46" s="249"/>
      <c r="APT46" s="249"/>
      <c r="APU46" s="249"/>
      <c r="APV46" s="249"/>
      <c r="APW46" s="249"/>
      <c r="APX46" s="249"/>
      <c r="APY46" s="249"/>
      <c r="APZ46" s="249"/>
      <c r="AQA46" s="249"/>
      <c r="AQB46" s="249"/>
      <c r="AQC46" s="249"/>
      <c r="AQD46" s="249"/>
      <c r="AQE46" s="249"/>
      <c r="AQF46" s="249"/>
      <c r="AQG46" s="249"/>
      <c r="AQH46" s="249"/>
      <c r="AQI46" s="249"/>
      <c r="AQJ46" s="249"/>
      <c r="AQK46" s="249"/>
      <c r="AQL46" s="249"/>
      <c r="AQM46" s="249"/>
      <c r="AQN46" s="249"/>
      <c r="AQO46" s="249"/>
      <c r="AQP46" s="249"/>
      <c r="AQQ46" s="249"/>
      <c r="AQR46" s="249"/>
      <c r="AQS46" s="249"/>
      <c r="AQT46" s="249"/>
      <c r="AQU46" s="249"/>
      <c r="AQV46" s="249"/>
      <c r="AQW46" s="249"/>
      <c r="AQX46" s="249"/>
      <c r="AQY46" s="249"/>
      <c r="AQZ46" s="249"/>
      <c r="ARA46" s="249"/>
    </row>
    <row r="47" spans="1:1145" ht="20.100000000000001" customHeight="1">
      <c r="A47" s="99" t="s">
        <v>18</v>
      </c>
      <c r="B47" s="62" t="str">
        <f>IF(LEN(C79)=0,"",C79)</f>
        <v/>
      </c>
      <c r="C47" s="208"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09"/>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248"/>
      <c r="AOU48" s="249"/>
      <c r="AOV48" s="249"/>
      <c r="AOW48" s="249"/>
      <c r="AOX48" s="249"/>
      <c r="AOY48" s="249"/>
      <c r="AOZ48" s="249"/>
      <c r="APA48" s="249"/>
      <c r="APB48" s="249"/>
      <c r="APC48" s="249"/>
      <c r="APD48" s="249"/>
      <c r="APE48" s="249"/>
      <c r="APF48" s="249"/>
      <c r="APG48" s="249"/>
      <c r="APH48" s="249"/>
      <c r="API48" s="249"/>
      <c r="APJ48" s="249"/>
      <c r="APK48" s="249"/>
      <c r="APL48" s="249"/>
      <c r="APM48" s="249"/>
      <c r="APN48" s="249"/>
      <c r="APO48" s="249"/>
      <c r="APP48" s="249"/>
      <c r="APQ48" s="249"/>
      <c r="APR48" s="249"/>
      <c r="APS48" s="249"/>
      <c r="APT48" s="249"/>
      <c r="APU48" s="249"/>
      <c r="APV48" s="249"/>
      <c r="APW48" s="249"/>
      <c r="APX48" s="249"/>
      <c r="APY48" s="249"/>
      <c r="APZ48" s="249"/>
      <c r="AQA48" s="249"/>
      <c r="AQB48" s="249"/>
      <c r="AQC48" s="249"/>
      <c r="AQD48" s="249"/>
      <c r="AQE48" s="249"/>
      <c r="AQF48" s="249"/>
      <c r="AQG48" s="249"/>
      <c r="AQH48" s="249"/>
      <c r="AQI48" s="249"/>
      <c r="AQJ48" s="249"/>
      <c r="AQK48" s="249"/>
      <c r="AQL48" s="249"/>
      <c r="AQM48" s="249"/>
      <c r="AQN48" s="249"/>
      <c r="AQO48" s="249"/>
      <c r="AQP48" s="249"/>
      <c r="AQQ48" s="249"/>
      <c r="AQR48" s="249"/>
      <c r="AQS48" s="249"/>
      <c r="AQT48" s="249"/>
      <c r="AQU48" s="249"/>
      <c r="AQV48" s="249"/>
      <c r="AQW48" s="249"/>
      <c r="AQX48" s="249"/>
      <c r="AQY48" s="249"/>
      <c r="AQZ48" s="249"/>
      <c r="ARA48" s="249"/>
    </row>
    <row r="49" spans="1:1145" ht="20.100000000000001" customHeight="1">
      <c r="A49" s="99" t="s">
        <v>18</v>
      </c>
      <c r="B49" s="62" t="str">
        <f>IF(LEN(C83)=0,"",C83)</f>
        <v/>
      </c>
      <c r="C49" s="208"/>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10"/>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248"/>
      <c r="AOU50" s="249"/>
      <c r="AOV50" s="249"/>
      <c r="AOW50" s="249"/>
      <c r="AOX50" s="249"/>
      <c r="AOY50" s="249"/>
      <c r="AOZ50" s="249"/>
      <c r="APA50" s="249"/>
      <c r="APB50" s="249"/>
      <c r="APC50" s="249"/>
      <c r="APD50" s="249"/>
      <c r="APE50" s="249"/>
      <c r="APF50" s="249"/>
      <c r="APG50" s="249"/>
      <c r="APH50" s="249"/>
      <c r="API50" s="249"/>
      <c r="APJ50" s="249"/>
      <c r="APK50" s="249"/>
      <c r="APL50" s="249"/>
      <c r="APM50" s="249"/>
      <c r="APN50" s="249"/>
      <c r="APO50" s="249"/>
      <c r="APP50" s="249"/>
      <c r="APQ50" s="249"/>
      <c r="APR50" s="249"/>
      <c r="APS50" s="249"/>
      <c r="APT50" s="249"/>
      <c r="APU50" s="249"/>
      <c r="APV50" s="249"/>
      <c r="APW50" s="249"/>
      <c r="APX50" s="249"/>
      <c r="APY50" s="249"/>
      <c r="APZ50" s="249"/>
      <c r="AQA50" s="249"/>
      <c r="AQB50" s="249"/>
      <c r="AQC50" s="249"/>
      <c r="AQD50" s="249"/>
      <c r="AQE50" s="249"/>
      <c r="AQF50" s="249"/>
      <c r="AQG50" s="249"/>
      <c r="AQH50" s="249"/>
      <c r="AQI50" s="249"/>
      <c r="AQJ50" s="249"/>
      <c r="AQK50" s="249"/>
      <c r="AQL50" s="249"/>
      <c r="AQM50" s="249"/>
      <c r="AQN50" s="249"/>
      <c r="AQO50" s="249"/>
      <c r="AQP50" s="249"/>
      <c r="AQQ50" s="249"/>
      <c r="AQR50" s="249"/>
      <c r="AQS50" s="249"/>
      <c r="AQT50" s="249"/>
      <c r="AQU50" s="249"/>
      <c r="AQV50" s="249"/>
      <c r="AQW50" s="249"/>
      <c r="AQX50" s="249"/>
      <c r="AQY50" s="249"/>
      <c r="AQZ50" s="249"/>
      <c r="ARA50" s="249"/>
    </row>
    <row r="51" spans="1:1145" ht="20.100000000000001" customHeight="1">
      <c r="A51" s="99" t="s">
        <v>18</v>
      </c>
      <c r="B51" s="62" t="str">
        <f>IF(LEN(C87)=0,"",C87)</f>
        <v/>
      </c>
      <c r="C51" s="208"/>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09"/>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248"/>
      <c r="AOU52" s="249"/>
      <c r="AOV52" s="249"/>
      <c r="AOW52" s="249"/>
      <c r="AOX52" s="249"/>
      <c r="AOY52" s="249"/>
      <c r="AOZ52" s="249"/>
      <c r="APA52" s="249"/>
      <c r="APB52" s="249"/>
      <c r="APC52" s="249"/>
      <c r="APD52" s="249"/>
      <c r="APE52" s="249"/>
      <c r="APF52" s="249"/>
      <c r="APG52" s="249"/>
      <c r="APH52" s="249"/>
      <c r="API52" s="249"/>
      <c r="APJ52" s="249"/>
      <c r="APK52" s="249"/>
      <c r="APL52" s="249"/>
      <c r="APM52" s="249"/>
      <c r="APN52" s="249"/>
      <c r="APO52" s="249"/>
      <c r="APP52" s="249"/>
      <c r="APQ52" s="249"/>
      <c r="APR52" s="249"/>
      <c r="APS52" s="249"/>
      <c r="APT52" s="249"/>
      <c r="APU52" s="249"/>
      <c r="APV52" s="249"/>
      <c r="APW52" s="249"/>
      <c r="APX52" s="249"/>
      <c r="APY52" s="249"/>
      <c r="APZ52" s="249"/>
      <c r="AQA52" s="249"/>
      <c r="AQB52" s="249"/>
      <c r="AQC52" s="249"/>
      <c r="AQD52" s="249"/>
      <c r="AQE52" s="249"/>
      <c r="AQF52" s="249"/>
      <c r="AQG52" s="249"/>
      <c r="AQH52" s="249"/>
      <c r="AQI52" s="249"/>
      <c r="AQJ52" s="249"/>
      <c r="AQK52" s="249"/>
      <c r="AQL52" s="249"/>
      <c r="AQM52" s="249"/>
      <c r="AQN52" s="249"/>
      <c r="AQO52" s="249"/>
      <c r="AQP52" s="249"/>
      <c r="AQQ52" s="249"/>
      <c r="AQR52" s="249"/>
      <c r="AQS52" s="249"/>
      <c r="AQT52" s="249"/>
      <c r="AQU52" s="249"/>
      <c r="AQV52" s="249"/>
      <c r="AQW52" s="249"/>
      <c r="AQX52" s="249"/>
      <c r="AQY52" s="249"/>
      <c r="AQZ52" s="249"/>
      <c r="ARA52" s="249"/>
    </row>
    <row r="53" spans="1:1145" ht="20.100000000000001" customHeight="1">
      <c r="A53" s="99" t="s">
        <v>18</v>
      </c>
      <c r="B53" s="62" t="str">
        <f>IF(LEN(C91)=0,"",C91)</f>
        <v/>
      </c>
      <c r="C53" s="208"/>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10"/>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248"/>
      <c r="AOU54" s="249"/>
      <c r="AOV54" s="249"/>
      <c r="AOW54" s="249"/>
      <c r="AOX54" s="249"/>
      <c r="AOY54" s="249"/>
      <c r="AOZ54" s="249"/>
      <c r="APA54" s="249"/>
      <c r="APB54" s="249"/>
      <c r="APC54" s="249"/>
      <c r="APD54" s="249"/>
      <c r="APE54" s="249"/>
      <c r="APF54" s="249"/>
      <c r="APG54" s="249"/>
      <c r="APH54" s="249"/>
      <c r="API54" s="249"/>
      <c r="APJ54" s="249"/>
      <c r="APK54" s="249"/>
      <c r="APL54" s="249"/>
      <c r="APM54" s="249"/>
      <c r="APN54" s="249"/>
      <c r="APO54" s="249"/>
      <c r="APP54" s="249"/>
      <c r="APQ54" s="249"/>
      <c r="APR54" s="249"/>
      <c r="APS54" s="249"/>
      <c r="APT54" s="249"/>
      <c r="APU54" s="249"/>
      <c r="APV54" s="249"/>
      <c r="APW54" s="249"/>
      <c r="APX54" s="249"/>
      <c r="APY54" s="249"/>
      <c r="APZ54" s="249"/>
      <c r="AQA54" s="249"/>
      <c r="AQB54" s="249"/>
      <c r="AQC54" s="249"/>
      <c r="AQD54" s="249"/>
      <c r="AQE54" s="249"/>
      <c r="AQF54" s="249"/>
      <c r="AQG54" s="249"/>
      <c r="AQH54" s="249"/>
      <c r="AQI54" s="249"/>
      <c r="AQJ54" s="249"/>
      <c r="AQK54" s="249"/>
      <c r="AQL54" s="249"/>
      <c r="AQM54" s="249"/>
      <c r="AQN54" s="249"/>
      <c r="AQO54" s="249"/>
      <c r="AQP54" s="249"/>
      <c r="AQQ54" s="249"/>
      <c r="AQR54" s="249"/>
      <c r="AQS54" s="249"/>
      <c r="AQT54" s="249"/>
      <c r="AQU54" s="249"/>
      <c r="AQV54" s="249"/>
      <c r="AQW54" s="249"/>
      <c r="AQX54" s="249"/>
      <c r="AQY54" s="249"/>
      <c r="AQZ54" s="249"/>
      <c r="ARA54" s="249"/>
    </row>
    <row r="55" spans="1:1145" ht="20.100000000000001" customHeight="1">
      <c r="A55" s="99" t="s">
        <v>18</v>
      </c>
      <c r="B55" s="62"/>
      <c r="C55" s="208"/>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09"/>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248"/>
      <c r="AOU56" s="249"/>
      <c r="AOV56" s="249"/>
      <c r="AOW56" s="249"/>
      <c r="AOX56" s="249"/>
      <c r="AOY56" s="249"/>
      <c r="AOZ56" s="249"/>
      <c r="APA56" s="249"/>
      <c r="APB56" s="249"/>
      <c r="APC56" s="249"/>
      <c r="APD56" s="249"/>
      <c r="APE56" s="249"/>
      <c r="APF56" s="249"/>
      <c r="APG56" s="249"/>
      <c r="APH56" s="249"/>
      <c r="API56" s="249"/>
      <c r="APJ56" s="249"/>
      <c r="APK56" s="249"/>
      <c r="APL56" s="249"/>
      <c r="APM56" s="249"/>
      <c r="APN56" s="249"/>
      <c r="APO56" s="249"/>
      <c r="APP56" s="249"/>
      <c r="APQ56" s="249"/>
      <c r="APR56" s="249"/>
      <c r="APS56" s="249"/>
      <c r="APT56" s="249"/>
      <c r="APU56" s="249"/>
      <c r="APV56" s="249"/>
      <c r="APW56" s="249"/>
      <c r="APX56" s="249"/>
      <c r="APY56" s="249"/>
      <c r="APZ56" s="249"/>
      <c r="AQA56" s="249"/>
      <c r="AQB56" s="249"/>
      <c r="AQC56" s="249"/>
      <c r="AQD56" s="249"/>
      <c r="AQE56" s="249"/>
      <c r="AQF56" s="249"/>
      <c r="AQG56" s="249"/>
      <c r="AQH56" s="249"/>
      <c r="AQI56" s="249"/>
      <c r="AQJ56" s="249"/>
      <c r="AQK56" s="249"/>
      <c r="AQL56" s="249"/>
      <c r="AQM56" s="249"/>
      <c r="AQN56" s="249"/>
      <c r="AQO56" s="249"/>
      <c r="AQP56" s="249"/>
      <c r="AQQ56" s="249"/>
      <c r="AQR56" s="249"/>
      <c r="AQS56" s="249"/>
      <c r="AQT56" s="249"/>
      <c r="AQU56" s="249"/>
      <c r="AQV56" s="249"/>
      <c r="AQW56" s="249"/>
      <c r="AQX56" s="249"/>
      <c r="AQY56" s="249"/>
      <c r="AQZ56" s="249"/>
      <c r="ARA56" s="249"/>
    </row>
    <row r="57" spans="1:1145" ht="20.100000000000001" customHeight="1">
      <c r="A57" s="99" t="s">
        <v>18</v>
      </c>
      <c r="B57" s="62"/>
      <c r="C57" s="208"/>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10"/>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248"/>
      <c r="AOU58" s="249"/>
      <c r="AOV58" s="249"/>
      <c r="AOW58" s="249"/>
      <c r="AOX58" s="249"/>
      <c r="AOY58" s="249"/>
      <c r="AOZ58" s="249"/>
      <c r="APA58" s="249"/>
      <c r="APB58" s="249"/>
      <c r="APC58" s="249"/>
      <c r="APD58" s="249"/>
      <c r="APE58" s="249"/>
      <c r="APF58" s="249"/>
      <c r="APG58" s="249"/>
      <c r="APH58" s="249"/>
      <c r="API58" s="249"/>
      <c r="APJ58" s="249"/>
      <c r="APK58" s="249"/>
      <c r="APL58" s="249"/>
      <c r="APM58" s="249"/>
      <c r="APN58" s="249"/>
      <c r="APO58" s="249"/>
      <c r="APP58" s="249"/>
      <c r="APQ58" s="249"/>
      <c r="APR58" s="249"/>
      <c r="APS58" s="249"/>
      <c r="APT58" s="249"/>
      <c r="APU58" s="249"/>
      <c r="APV58" s="249"/>
      <c r="APW58" s="249"/>
      <c r="APX58" s="249"/>
      <c r="APY58" s="249"/>
      <c r="APZ58" s="249"/>
      <c r="AQA58" s="249"/>
      <c r="AQB58" s="249"/>
      <c r="AQC58" s="249"/>
      <c r="AQD58" s="249"/>
      <c r="AQE58" s="249"/>
      <c r="AQF58" s="249"/>
      <c r="AQG58" s="249"/>
      <c r="AQH58" s="249"/>
      <c r="AQI58" s="249"/>
      <c r="AQJ58" s="249"/>
      <c r="AQK58" s="249"/>
      <c r="AQL58" s="249"/>
      <c r="AQM58" s="249"/>
      <c r="AQN58" s="249"/>
      <c r="AQO58" s="249"/>
      <c r="AQP58" s="249"/>
      <c r="AQQ58" s="249"/>
      <c r="AQR58" s="249"/>
      <c r="AQS58" s="249"/>
      <c r="AQT58" s="249"/>
      <c r="AQU58" s="249"/>
      <c r="AQV58" s="249"/>
      <c r="AQW58" s="249"/>
      <c r="AQX58" s="249"/>
      <c r="AQY58" s="249"/>
      <c r="AQZ58" s="249"/>
      <c r="ARA58" s="249"/>
    </row>
    <row r="59" spans="1:1145" ht="20.100000000000001" customHeight="1">
      <c r="A59" s="99" t="s">
        <v>18</v>
      </c>
      <c r="B59" s="62"/>
      <c r="C59" s="208"/>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10"/>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248"/>
      <c r="AOU60" s="249"/>
      <c r="AOV60" s="249"/>
      <c r="AOW60" s="249"/>
      <c r="AOX60" s="249"/>
      <c r="AOY60" s="249"/>
      <c r="AOZ60" s="249"/>
      <c r="APA60" s="249"/>
      <c r="APB60" s="249"/>
      <c r="APC60" s="249"/>
      <c r="APD60" s="249"/>
      <c r="APE60" s="249"/>
      <c r="APF60" s="249"/>
      <c r="APG60" s="249"/>
      <c r="APH60" s="249"/>
      <c r="API60" s="249"/>
      <c r="APJ60" s="249"/>
      <c r="APK60" s="249"/>
      <c r="APL60" s="249"/>
      <c r="APM60" s="249"/>
      <c r="APN60" s="249"/>
      <c r="APO60" s="249"/>
      <c r="APP60" s="249"/>
      <c r="APQ60" s="249"/>
      <c r="APR60" s="249"/>
      <c r="APS60" s="249"/>
      <c r="APT60" s="249"/>
      <c r="APU60" s="249"/>
      <c r="APV60" s="249"/>
      <c r="APW60" s="249"/>
      <c r="APX60" s="249"/>
      <c r="APY60" s="249"/>
      <c r="APZ60" s="249"/>
      <c r="AQA60" s="249"/>
      <c r="AQB60" s="249"/>
      <c r="AQC60" s="249"/>
      <c r="AQD60" s="249"/>
      <c r="AQE60" s="249"/>
      <c r="AQF60" s="249"/>
      <c r="AQG60" s="249"/>
      <c r="AQH60" s="249"/>
      <c r="AQI60" s="249"/>
      <c r="AQJ60" s="249"/>
      <c r="AQK60" s="249"/>
      <c r="AQL60" s="249"/>
      <c r="AQM60" s="249"/>
      <c r="AQN60" s="249"/>
      <c r="AQO60" s="249"/>
      <c r="AQP60" s="249"/>
      <c r="AQQ60" s="249"/>
      <c r="AQR60" s="249"/>
      <c r="AQS60" s="249"/>
      <c r="AQT60" s="249"/>
      <c r="AQU60" s="249"/>
      <c r="AQV60" s="249"/>
      <c r="AQW60" s="249"/>
      <c r="AQX60" s="249"/>
      <c r="AQY60" s="249"/>
      <c r="AQZ60" s="249"/>
      <c r="ARA60" s="249"/>
    </row>
    <row r="61" spans="1:1145" ht="20.100000000000001" customHeight="1">
      <c r="A61" s="99" t="s">
        <v>18</v>
      </c>
      <c r="B61" s="62"/>
      <c r="C61" s="208"/>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09"/>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248"/>
      <c r="AOU62" s="249"/>
      <c r="AOV62" s="249"/>
      <c r="AOW62" s="249"/>
      <c r="AOX62" s="249"/>
      <c r="AOY62" s="249"/>
      <c r="AOZ62" s="249"/>
      <c r="APA62" s="249"/>
      <c r="APB62" s="249"/>
      <c r="APC62" s="249"/>
      <c r="APD62" s="249"/>
      <c r="APE62" s="249"/>
      <c r="APF62" s="249"/>
      <c r="APG62" s="249"/>
      <c r="APH62" s="249"/>
      <c r="API62" s="249"/>
      <c r="APJ62" s="249"/>
      <c r="APK62" s="249"/>
      <c r="APL62" s="249"/>
      <c r="APM62" s="249"/>
      <c r="APN62" s="249"/>
      <c r="APO62" s="249"/>
      <c r="APP62" s="249"/>
      <c r="APQ62" s="249"/>
      <c r="APR62" s="249"/>
      <c r="APS62" s="249"/>
      <c r="APT62" s="249"/>
      <c r="APU62" s="249"/>
      <c r="APV62" s="249"/>
      <c r="APW62" s="249"/>
      <c r="APX62" s="249"/>
      <c r="APY62" s="249"/>
      <c r="APZ62" s="249"/>
      <c r="AQA62" s="249"/>
      <c r="AQB62" s="249"/>
      <c r="AQC62" s="249"/>
      <c r="AQD62" s="249"/>
      <c r="AQE62" s="249"/>
      <c r="AQF62" s="249"/>
      <c r="AQG62" s="249"/>
      <c r="AQH62" s="249"/>
      <c r="AQI62" s="249"/>
      <c r="AQJ62" s="249"/>
      <c r="AQK62" s="249"/>
      <c r="AQL62" s="249"/>
      <c r="AQM62" s="249"/>
      <c r="AQN62" s="249"/>
      <c r="AQO62" s="249"/>
      <c r="AQP62" s="249"/>
      <c r="AQQ62" s="249"/>
      <c r="AQR62" s="249"/>
      <c r="AQS62" s="249"/>
      <c r="AQT62" s="249"/>
      <c r="AQU62" s="249"/>
      <c r="AQV62" s="249"/>
      <c r="AQW62" s="249"/>
      <c r="AQX62" s="249"/>
      <c r="AQY62" s="249"/>
      <c r="AQZ62" s="249"/>
      <c r="ARA62" s="249"/>
    </row>
    <row r="63" spans="1:1145" ht="20.100000000000001" customHeight="1">
      <c r="A63" s="99" t="s">
        <v>18</v>
      </c>
      <c r="B63" s="62"/>
      <c r="C63" s="208"/>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10"/>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248"/>
      <c r="AOU64" s="249"/>
      <c r="AOV64" s="249"/>
      <c r="AOW64" s="249"/>
      <c r="AOX64" s="249"/>
      <c r="AOY64" s="249"/>
      <c r="AOZ64" s="249"/>
      <c r="APA64" s="249"/>
      <c r="APB64" s="249"/>
      <c r="APC64" s="249"/>
      <c r="APD64" s="249"/>
      <c r="APE64" s="249"/>
      <c r="APF64" s="249"/>
      <c r="APG64" s="249"/>
      <c r="APH64" s="249"/>
      <c r="API64" s="249"/>
      <c r="APJ64" s="249"/>
      <c r="APK64" s="249"/>
      <c r="APL64" s="249"/>
      <c r="APM64" s="249"/>
      <c r="APN64" s="249"/>
      <c r="APO64" s="249"/>
      <c r="APP64" s="249"/>
      <c r="APQ64" s="249"/>
      <c r="APR64" s="249"/>
      <c r="APS64" s="249"/>
      <c r="APT64" s="249"/>
      <c r="APU64" s="249"/>
      <c r="APV64" s="249"/>
      <c r="APW64" s="249"/>
      <c r="APX64" s="249"/>
      <c r="APY64" s="249"/>
      <c r="APZ64" s="249"/>
      <c r="AQA64" s="249"/>
      <c r="AQB64" s="249"/>
      <c r="AQC64" s="249"/>
      <c r="AQD64" s="249"/>
      <c r="AQE64" s="249"/>
      <c r="AQF64" s="249"/>
      <c r="AQG64" s="249"/>
      <c r="AQH64" s="249"/>
      <c r="AQI64" s="249"/>
      <c r="AQJ64" s="249"/>
      <c r="AQK64" s="249"/>
      <c r="AQL64" s="249"/>
      <c r="AQM64" s="249"/>
      <c r="AQN64" s="249"/>
      <c r="AQO64" s="249"/>
      <c r="AQP64" s="249"/>
      <c r="AQQ64" s="249"/>
      <c r="AQR64" s="249"/>
      <c r="AQS64" s="249"/>
      <c r="AQT64" s="249"/>
      <c r="AQU64" s="249"/>
      <c r="AQV64" s="249"/>
      <c r="AQW64" s="249"/>
      <c r="AQX64" s="249"/>
      <c r="AQY64" s="249"/>
      <c r="AQZ64" s="249"/>
      <c r="ARA64" s="249"/>
    </row>
    <row r="65" spans="1:1145" ht="20.100000000000001" customHeight="1">
      <c r="A65" s="99" t="s">
        <v>18</v>
      </c>
      <c r="B65" s="62"/>
      <c r="C65" s="208"/>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10"/>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248"/>
      <c r="AOU66" s="249"/>
      <c r="AOV66" s="249"/>
      <c r="AOW66" s="249"/>
      <c r="AOX66" s="249"/>
      <c r="AOY66" s="249"/>
      <c r="AOZ66" s="249"/>
      <c r="APA66" s="249"/>
      <c r="APB66" s="249"/>
      <c r="APC66" s="249"/>
      <c r="APD66" s="249"/>
      <c r="APE66" s="249"/>
      <c r="APF66" s="249"/>
      <c r="APG66" s="249"/>
      <c r="APH66" s="249"/>
      <c r="API66" s="249"/>
      <c r="APJ66" s="249"/>
      <c r="APK66" s="249"/>
      <c r="APL66" s="249"/>
      <c r="APM66" s="249"/>
      <c r="APN66" s="249"/>
      <c r="APO66" s="249"/>
      <c r="APP66" s="249"/>
      <c r="APQ66" s="249"/>
      <c r="APR66" s="249"/>
      <c r="APS66" s="249"/>
      <c r="APT66" s="249"/>
      <c r="APU66" s="249"/>
      <c r="APV66" s="249"/>
      <c r="APW66" s="249"/>
      <c r="APX66" s="249"/>
      <c r="APY66" s="249"/>
      <c r="APZ66" s="249"/>
      <c r="AQA66" s="249"/>
      <c r="AQB66" s="249"/>
      <c r="AQC66" s="249"/>
      <c r="AQD66" s="249"/>
      <c r="AQE66" s="249"/>
      <c r="AQF66" s="249"/>
      <c r="AQG66" s="249"/>
      <c r="AQH66" s="249"/>
      <c r="AQI66" s="249"/>
      <c r="AQJ66" s="249"/>
      <c r="AQK66" s="249"/>
      <c r="AQL66" s="249"/>
      <c r="AQM66" s="249"/>
      <c r="AQN66" s="249"/>
      <c r="AQO66" s="249"/>
      <c r="AQP66" s="249"/>
      <c r="AQQ66" s="249"/>
      <c r="AQR66" s="249"/>
      <c r="AQS66" s="249"/>
      <c r="AQT66" s="249"/>
      <c r="AQU66" s="249"/>
      <c r="AQV66" s="249"/>
      <c r="AQW66" s="249"/>
      <c r="AQX66" s="249"/>
      <c r="AQY66" s="249"/>
      <c r="AQZ66" s="249"/>
      <c r="ARA66" s="249"/>
    </row>
    <row r="67" spans="1:1145" ht="20.100000000000001" customHeight="1">
      <c r="A67" s="99" t="s">
        <v>18</v>
      </c>
      <c r="B67" s="62"/>
      <c r="C67" s="208"/>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09"/>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248"/>
      <c r="AOU68" s="249"/>
      <c r="AOV68" s="249"/>
      <c r="AOW68" s="249"/>
      <c r="AOX68" s="249"/>
      <c r="AOY68" s="249"/>
      <c r="AOZ68" s="249"/>
      <c r="APA68" s="249"/>
      <c r="APB68" s="249"/>
      <c r="APC68" s="249"/>
      <c r="APD68" s="249"/>
      <c r="APE68" s="249"/>
      <c r="APF68" s="249"/>
      <c r="APG68" s="249"/>
      <c r="APH68" s="249"/>
      <c r="API68" s="249"/>
      <c r="APJ68" s="249"/>
      <c r="APK68" s="249"/>
      <c r="APL68" s="249"/>
      <c r="APM68" s="249"/>
      <c r="APN68" s="249"/>
      <c r="APO68" s="249"/>
      <c r="APP68" s="249"/>
      <c r="APQ68" s="249"/>
      <c r="APR68" s="249"/>
      <c r="APS68" s="249"/>
      <c r="APT68" s="249"/>
      <c r="APU68" s="249"/>
      <c r="APV68" s="249"/>
      <c r="APW68" s="249"/>
      <c r="APX68" s="249"/>
      <c r="APY68" s="249"/>
      <c r="APZ68" s="249"/>
      <c r="AQA68" s="249"/>
      <c r="AQB68" s="249"/>
      <c r="AQC68" s="249"/>
      <c r="AQD68" s="249"/>
      <c r="AQE68" s="249"/>
      <c r="AQF68" s="249"/>
      <c r="AQG68" s="249"/>
      <c r="AQH68" s="249"/>
      <c r="AQI68" s="249"/>
      <c r="AQJ68" s="249"/>
      <c r="AQK68" s="249"/>
      <c r="AQL68" s="249"/>
      <c r="AQM68" s="249"/>
      <c r="AQN68" s="249"/>
      <c r="AQO68" s="249"/>
      <c r="AQP68" s="249"/>
      <c r="AQQ68" s="249"/>
      <c r="AQR68" s="249"/>
      <c r="AQS68" s="249"/>
      <c r="AQT68" s="249"/>
      <c r="AQU68" s="249"/>
      <c r="AQV68" s="249"/>
      <c r="AQW68" s="249"/>
      <c r="AQX68" s="249"/>
      <c r="AQY68" s="249"/>
      <c r="AQZ68" s="249"/>
      <c r="ARA68" s="249"/>
    </row>
    <row r="69" spans="1:1145" ht="20.100000000000001" customHeight="1">
      <c r="A69" s="99" t="s">
        <v>18</v>
      </c>
      <c r="B69" s="62"/>
      <c r="C69" s="208"/>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10"/>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248"/>
      <c r="AOU70" s="249"/>
      <c r="AOV70" s="249"/>
      <c r="AOW70" s="249"/>
      <c r="AOX70" s="249"/>
      <c r="AOY70" s="249"/>
      <c r="AOZ70" s="249"/>
      <c r="APA70" s="249"/>
      <c r="APB70" s="249"/>
      <c r="APC70" s="249"/>
      <c r="APD70" s="249"/>
      <c r="APE70" s="249"/>
      <c r="APF70" s="249"/>
      <c r="APG70" s="249"/>
      <c r="APH70" s="249"/>
      <c r="API70" s="249"/>
      <c r="APJ70" s="249"/>
      <c r="APK70" s="249"/>
      <c r="APL70" s="249"/>
      <c r="APM70" s="249"/>
      <c r="APN70" s="249"/>
      <c r="APO70" s="249"/>
      <c r="APP70" s="249"/>
      <c r="APQ70" s="249"/>
      <c r="APR70" s="249"/>
      <c r="APS70" s="249"/>
      <c r="APT70" s="249"/>
      <c r="APU70" s="249"/>
      <c r="APV70" s="249"/>
      <c r="APW70" s="249"/>
      <c r="APX70" s="249"/>
      <c r="APY70" s="249"/>
      <c r="APZ70" s="249"/>
      <c r="AQA70" s="249"/>
      <c r="AQB70" s="249"/>
      <c r="AQC70" s="249"/>
      <c r="AQD70" s="249"/>
      <c r="AQE70" s="249"/>
      <c r="AQF70" s="249"/>
      <c r="AQG70" s="249"/>
      <c r="AQH70" s="249"/>
      <c r="AQI70" s="249"/>
      <c r="AQJ70" s="249"/>
      <c r="AQK70" s="249"/>
      <c r="AQL70" s="249"/>
      <c r="AQM70" s="249"/>
      <c r="AQN70" s="249"/>
      <c r="AQO70" s="249"/>
      <c r="AQP70" s="249"/>
      <c r="AQQ70" s="249"/>
      <c r="AQR70" s="249"/>
      <c r="AQS70" s="249"/>
      <c r="AQT70" s="249"/>
      <c r="AQU70" s="249"/>
      <c r="AQV70" s="249"/>
      <c r="AQW70" s="249"/>
      <c r="AQX70" s="249"/>
      <c r="AQY70" s="249"/>
      <c r="AQZ70" s="249"/>
      <c r="ARA70" s="249"/>
    </row>
    <row r="71" spans="1:1145" ht="20.100000000000001" customHeight="1">
      <c r="A71" s="99" t="s">
        <v>18</v>
      </c>
      <c r="B71" s="62"/>
      <c r="C71" s="208"/>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09"/>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248"/>
      <c r="AOU72" s="249"/>
      <c r="AOV72" s="249"/>
      <c r="AOW72" s="249"/>
      <c r="AOX72" s="249"/>
      <c r="AOY72" s="249"/>
      <c r="AOZ72" s="249"/>
      <c r="APA72" s="249"/>
      <c r="APB72" s="249"/>
      <c r="APC72" s="249"/>
      <c r="APD72" s="249"/>
      <c r="APE72" s="249"/>
      <c r="APF72" s="249"/>
      <c r="APG72" s="249"/>
      <c r="APH72" s="249"/>
      <c r="API72" s="249"/>
      <c r="APJ72" s="249"/>
      <c r="APK72" s="249"/>
      <c r="APL72" s="249"/>
      <c r="APM72" s="249"/>
      <c r="APN72" s="249"/>
      <c r="APO72" s="249"/>
      <c r="APP72" s="249"/>
      <c r="APQ72" s="249"/>
      <c r="APR72" s="249"/>
      <c r="APS72" s="249"/>
      <c r="APT72" s="249"/>
      <c r="APU72" s="249"/>
      <c r="APV72" s="249"/>
      <c r="APW72" s="249"/>
      <c r="APX72" s="249"/>
      <c r="APY72" s="249"/>
      <c r="APZ72" s="249"/>
      <c r="AQA72" s="249"/>
      <c r="AQB72" s="249"/>
      <c r="AQC72" s="249"/>
      <c r="AQD72" s="249"/>
      <c r="AQE72" s="249"/>
      <c r="AQF72" s="249"/>
      <c r="AQG72" s="249"/>
      <c r="AQH72" s="249"/>
      <c r="AQI72" s="249"/>
      <c r="AQJ72" s="249"/>
      <c r="AQK72" s="249"/>
      <c r="AQL72" s="249"/>
      <c r="AQM72" s="249"/>
      <c r="AQN72" s="249"/>
      <c r="AQO72" s="249"/>
      <c r="AQP72" s="249"/>
      <c r="AQQ72" s="249"/>
      <c r="AQR72" s="249"/>
      <c r="AQS72" s="249"/>
      <c r="AQT72" s="249"/>
      <c r="AQU72" s="249"/>
      <c r="AQV72" s="249"/>
      <c r="AQW72" s="249"/>
      <c r="AQX72" s="249"/>
      <c r="AQY72" s="249"/>
      <c r="AQZ72" s="249"/>
      <c r="ARA72" s="249"/>
    </row>
    <row r="73" spans="1:1145" ht="20.100000000000001" customHeight="1">
      <c r="A73" s="99" t="s">
        <v>18</v>
      </c>
      <c r="B73" s="62"/>
      <c r="C73" s="208"/>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10"/>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248"/>
      <c r="AOU74" s="249"/>
      <c r="AOV74" s="249"/>
      <c r="AOW74" s="249"/>
      <c r="AOX74" s="249"/>
      <c r="AOY74" s="249"/>
      <c r="AOZ74" s="249"/>
      <c r="APA74" s="249"/>
      <c r="APB74" s="249"/>
      <c r="APC74" s="249"/>
      <c r="APD74" s="249"/>
      <c r="APE74" s="249"/>
      <c r="APF74" s="249"/>
      <c r="APG74" s="249"/>
      <c r="APH74" s="249"/>
      <c r="API74" s="249"/>
      <c r="APJ74" s="249"/>
      <c r="APK74" s="249"/>
      <c r="APL74" s="249"/>
      <c r="APM74" s="249"/>
      <c r="APN74" s="249"/>
      <c r="APO74" s="249"/>
      <c r="APP74" s="249"/>
      <c r="APQ74" s="249"/>
      <c r="APR74" s="249"/>
      <c r="APS74" s="249"/>
      <c r="APT74" s="249"/>
      <c r="APU74" s="249"/>
      <c r="APV74" s="249"/>
      <c r="APW74" s="249"/>
      <c r="APX74" s="249"/>
      <c r="APY74" s="249"/>
      <c r="APZ74" s="249"/>
      <c r="AQA74" s="249"/>
      <c r="AQB74" s="249"/>
      <c r="AQC74" s="249"/>
      <c r="AQD74" s="249"/>
      <c r="AQE74" s="249"/>
      <c r="AQF74" s="249"/>
      <c r="AQG74" s="249"/>
      <c r="AQH74" s="249"/>
      <c r="AQI74" s="249"/>
      <c r="AQJ74" s="249"/>
      <c r="AQK74" s="249"/>
      <c r="AQL74" s="249"/>
      <c r="AQM74" s="249"/>
      <c r="AQN74" s="249"/>
      <c r="AQO74" s="249"/>
      <c r="AQP74" s="249"/>
      <c r="AQQ74" s="249"/>
      <c r="AQR74" s="249"/>
      <c r="AQS74" s="249"/>
      <c r="AQT74" s="249"/>
      <c r="AQU74" s="249"/>
      <c r="AQV74" s="249"/>
      <c r="AQW74" s="249"/>
      <c r="AQX74" s="249"/>
      <c r="AQY74" s="249"/>
      <c r="AQZ74" s="249"/>
      <c r="ARA74" s="249"/>
    </row>
    <row r="75" spans="1:1145" ht="20.100000000000001" customHeight="1">
      <c r="A75" s="99" t="s">
        <v>18</v>
      </c>
      <c r="B75" s="62"/>
      <c r="C75" s="208"/>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10"/>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248"/>
      <c r="AOU76" s="249"/>
      <c r="AOV76" s="249"/>
      <c r="AOW76" s="249"/>
      <c r="AOX76" s="249"/>
      <c r="AOY76" s="249"/>
      <c r="AOZ76" s="249"/>
      <c r="APA76" s="249"/>
      <c r="APB76" s="249"/>
      <c r="APC76" s="249"/>
      <c r="APD76" s="249"/>
      <c r="APE76" s="249"/>
      <c r="APF76" s="249"/>
      <c r="APG76" s="249"/>
      <c r="APH76" s="249"/>
      <c r="API76" s="249"/>
      <c r="APJ76" s="249"/>
      <c r="APK76" s="249"/>
      <c r="APL76" s="249"/>
      <c r="APM76" s="249"/>
      <c r="APN76" s="249"/>
      <c r="APO76" s="249"/>
      <c r="APP76" s="249"/>
      <c r="APQ76" s="249"/>
      <c r="APR76" s="249"/>
      <c r="APS76" s="249"/>
      <c r="APT76" s="249"/>
      <c r="APU76" s="249"/>
      <c r="APV76" s="249"/>
      <c r="APW76" s="249"/>
      <c r="APX76" s="249"/>
      <c r="APY76" s="249"/>
      <c r="APZ76" s="249"/>
      <c r="AQA76" s="249"/>
      <c r="AQB76" s="249"/>
      <c r="AQC76" s="249"/>
      <c r="AQD76" s="249"/>
      <c r="AQE76" s="249"/>
      <c r="AQF76" s="249"/>
      <c r="AQG76" s="249"/>
      <c r="AQH76" s="249"/>
      <c r="AQI76" s="249"/>
      <c r="AQJ76" s="249"/>
      <c r="AQK76" s="249"/>
      <c r="AQL76" s="249"/>
      <c r="AQM76" s="249"/>
      <c r="AQN76" s="249"/>
      <c r="AQO76" s="249"/>
      <c r="AQP76" s="249"/>
      <c r="AQQ76" s="249"/>
      <c r="AQR76" s="249"/>
      <c r="AQS76" s="249"/>
      <c r="AQT76" s="249"/>
      <c r="AQU76" s="249"/>
      <c r="AQV76" s="249"/>
      <c r="AQW76" s="249"/>
      <c r="AQX76" s="249"/>
      <c r="AQY76" s="249"/>
      <c r="AQZ76" s="249"/>
      <c r="ARA76" s="249"/>
    </row>
    <row r="77" spans="1:1145" ht="20.100000000000001" customHeight="1">
      <c r="A77" s="99" t="s">
        <v>18</v>
      </c>
      <c r="B77" s="62"/>
      <c r="C77" s="208"/>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09"/>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248"/>
      <c r="AOU78" s="249"/>
      <c r="AOV78" s="249"/>
      <c r="AOW78" s="249"/>
      <c r="AOX78" s="249"/>
      <c r="AOY78" s="249"/>
      <c r="AOZ78" s="249"/>
      <c r="APA78" s="249"/>
      <c r="APB78" s="249"/>
      <c r="APC78" s="249"/>
      <c r="APD78" s="249"/>
      <c r="APE78" s="249"/>
      <c r="APF78" s="249"/>
      <c r="APG78" s="249"/>
      <c r="APH78" s="249"/>
      <c r="API78" s="249"/>
      <c r="APJ78" s="249"/>
      <c r="APK78" s="249"/>
      <c r="APL78" s="249"/>
      <c r="APM78" s="249"/>
      <c r="APN78" s="249"/>
      <c r="APO78" s="249"/>
      <c r="APP78" s="249"/>
      <c r="APQ78" s="249"/>
      <c r="APR78" s="249"/>
      <c r="APS78" s="249"/>
      <c r="APT78" s="249"/>
      <c r="APU78" s="249"/>
      <c r="APV78" s="249"/>
      <c r="APW78" s="249"/>
      <c r="APX78" s="249"/>
      <c r="APY78" s="249"/>
      <c r="APZ78" s="249"/>
      <c r="AQA78" s="249"/>
      <c r="AQB78" s="249"/>
      <c r="AQC78" s="249"/>
      <c r="AQD78" s="249"/>
      <c r="AQE78" s="249"/>
      <c r="AQF78" s="249"/>
      <c r="AQG78" s="249"/>
      <c r="AQH78" s="249"/>
      <c r="AQI78" s="249"/>
      <c r="AQJ78" s="249"/>
      <c r="AQK78" s="249"/>
      <c r="AQL78" s="249"/>
      <c r="AQM78" s="249"/>
      <c r="AQN78" s="249"/>
      <c r="AQO78" s="249"/>
      <c r="AQP78" s="249"/>
      <c r="AQQ78" s="249"/>
      <c r="AQR78" s="249"/>
      <c r="AQS78" s="249"/>
      <c r="AQT78" s="249"/>
      <c r="AQU78" s="249"/>
      <c r="AQV78" s="249"/>
      <c r="AQW78" s="249"/>
      <c r="AQX78" s="249"/>
      <c r="AQY78" s="249"/>
      <c r="AQZ78" s="249"/>
      <c r="ARA78" s="249"/>
    </row>
    <row r="79" spans="1:1145" ht="20.100000000000001" customHeight="1">
      <c r="A79" s="99" t="s">
        <v>18</v>
      </c>
      <c r="B79" s="62"/>
      <c r="C79" s="208"/>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10"/>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248"/>
      <c r="AOU80" s="249"/>
      <c r="AOV80" s="249"/>
      <c r="AOW80" s="249"/>
      <c r="AOX80" s="249"/>
      <c r="AOY80" s="249"/>
      <c r="AOZ80" s="249"/>
      <c r="APA80" s="249"/>
      <c r="APB80" s="249"/>
      <c r="APC80" s="249"/>
      <c r="APD80" s="249"/>
      <c r="APE80" s="249"/>
      <c r="APF80" s="249"/>
      <c r="APG80" s="249"/>
      <c r="APH80" s="249"/>
      <c r="API80" s="249"/>
      <c r="APJ80" s="249"/>
      <c r="APK80" s="249"/>
      <c r="APL80" s="249"/>
      <c r="APM80" s="249"/>
      <c r="APN80" s="249"/>
      <c r="APO80" s="249"/>
      <c r="APP80" s="249"/>
      <c r="APQ80" s="249"/>
      <c r="APR80" s="249"/>
      <c r="APS80" s="249"/>
      <c r="APT80" s="249"/>
      <c r="APU80" s="249"/>
      <c r="APV80" s="249"/>
      <c r="APW80" s="249"/>
      <c r="APX80" s="249"/>
      <c r="APY80" s="249"/>
      <c r="APZ80" s="249"/>
      <c r="AQA80" s="249"/>
      <c r="AQB80" s="249"/>
      <c r="AQC80" s="249"/>
      <c r="AQD80" s="249"/>
      <c r="AQE80" s="249"/>
      <c r="AQF80" s="249"/>
      <c r="AQG80" s="249"/>
      <c r="AQH80" s="249"/>
      <c r="AQI80" s="249"/>
      <c r="AQJ80" s="249"/>
      <c r="AQK80" s="249"/>
      <c r="AQL80" s="249"/>
      <c r="AQM80" s="249"/>
      <c r="AQN80" s="249"/>
      <c r="AQO80" s="249"/>
      <c r="AQP80" s="249"/>
      <c r="AQQ80" s="249"/>
      <c r="AQR80" s="249"/>
      <c r="AQS80" s="249"/>
      <c r="AQT80" s="249"/>
      <c r="AQU80" s="249"/>
      <c r="AQV80" s="249"/>
      <c r="AQW80" s="249"/>
      <c r="AQX80" s="249"/>
      <c r="AQY80" s="249"/>
      <c r="AQZ80" s="249"/>
      <c r="ARA80" s="249"/>
    </row>
    <row r="81" spans="1:1145" ht="20.100000000000001" customHeight="1">
      <c r="A81" s="99" t="s">
        <v>18</v>
      </c>
      <c r="B81" s="62"/>
      <c r="C81" s="208"/>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10"/>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248"/>
      <c r="AOU82" s="249"/>
      <c r="AOV82" s="249"/>
      <c r="AOW82" s="249"/>
      <c r="AOX82" s="249"/>
      <c r="AOY82" s="249"/>
      <c r="AOZ82" s="249"/>
      <c r="APA82" s="249"/>
      <c r="APB82" s="249"/>
      <c r="APC82" s="249"/>
      <c r="APD82" s="249"/>
      <c r="APE82" s="249"/>
      <c r="APF82" s="249"/>
      <c r="APG82" s="249"/>
      <c r="APH82" s="249"/>
      <c r="API82" s="249"/>
      <c r="APJ82" s="249"/>
      <c r="APK82" s="249"/>
      <c r="APL82" s="249"/>
      <c r="APM82" s="249"/>
      <c r="APN82" s="249"/>
      <c r="APO82" s="249"/>
      <c r="APP82" s="249"/>
      <c r="APQ82" s="249"/>
      <c r="APR82" s="249"/>
      <c r="APS82" s="249"/>
      <c r="APT82" s="249"/>
      <c r="APU82" s="249"/>
      <c r="APV82" s="249"/>
      <c r="APW82" s="249"/>
      <c r="APX82" s="249"/>
      <c r="APY82" s="249"/>
      <c r="APZ82" s="249"/>
      <c r="AQA82" s="249"/>
      <c r="AQB82" s="249"/>
      <c r="AQC82" s="249"/>
      <c r="AQD82" s="249"/>
      <c r="AQE82" s="249"/>
      <c r="AQF82" s="249"/>
      <c r="AQG82" s="249"/>
      <c r="AQH82" s="249"/>
      <c r="AQI82" s="249"/>
      <c r="AQJ82" s="249"/>
      <c r="AQK82" s="249"/>
      <c r="AQL82" s="249"/>
      <c r="AQM82" s="249"/>
      <c r="AQN82" s="249"/>
      <c r="AQO82" s="249"/>
      <c r="AQP82" s="249"/>
      <c r="AQQ82" s="249"/>
      <c r="AQR82" s="249"/>
      <c r="AQS82" s="249"/>
      <c r="AQT82" s="249"/>
      <c r="AQU82" s="249"/>
      <c r="AQV82" s="249"/>
      <c r="AQW82" s="249"/>
      <c r="AQX82" s="249"/>
      <c r="AQY82" s="249"/>
      <c r="AQZ82" s="249"/>
      <c r="ARA82" s="249"/>
    </row>
    <row r="83" spans="1:1145" ht="20.100000000000001" customHeight="1">
      <c r="A83" s="99" t="s">
        <v>18</v>
      </c>
      <c r="B83" s="62"/>
      <c r="C83" s="208"/>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09"/>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248"/>
      <c r="AOU84" s="249"/>
      <c r="AOV84" s="249"/>
      <c r="AOW84" s="249"/>
      <c r="AOX84" s="249"/>
      <c r="AOY84" s="249"/>
      <c r="AOZ84" s="249"/>
      <c r="APA84" s="249"/>
      <c r="APB84" s="249"/>
      <c r="APC84" s="249"/>
      <c r="APD84" s="249"/>
      <c r="APE84" s="249"/>
      <c r="APF84" s="249"/>
      <c r="APG84" s="249"/>
      <c r="APH84" s="249"/>
      <c r="API84" s="249"/>
      <c r="APJ84" s="249"/>
      <c r="APK84" s="249"/>
      <c r="APL84" s="249"/>
      <c r="APM84" s="249"/>
      <c r="APN84" s="249"/>
      <c r="APO84" s="249"/>
      <c r="APP84" s="249"/>
      <c r="APQ84" s="249"/>
      <c r="APR84" s="249"/>
      <c r="APS84" s="249"/>
      <c r="APT84" s="249"/>
      <c r="APU84" s="249"/>
      <c r="APV84" s="249"/>
      <c r="APW84" s="249"/>
      <c r="APX84" s="249"/>
      <c r="APY84" s="249"/>
      <c r="APZ84" s="249"/>
      <c r="AQA84" s="249"/>
      <c r="AQB84" s="249"/>
      <c r="AQC84" s="249"/>
      <c r="AQD84" s="249"/>
      <c r="AQE84" s="249"/>
      <c r="AQF84" s="249"/>
      <c r="AQG84" s="249"/>
      <c r="AQH84" s="249"/>
      <c r="AQI84" s="249"/>
      <c r="AQJ84" s="249"/>
      <c r="AQK84" s="249"/>
      <c r="AQL84" s="249"/>
      <c r="AQM84" s="249"/>
      <c r="AQN84" s="249"/>
      <c r="AQO84" s="249"/>
      <c r="AQP84" s="249"/>
      <c r="AQQ84" s="249"/>
      <c r="AQR84" s="249"/>
      <c r="AQS84" s="249"/>
      <c r="AQT84" s="249"/>
      <c r="AQU84" s="249"/>
      <c r="AQV84" s="249"/>
      <c r="AQW84" s="249"/>
      <c r="AQX84" s="249"/>
      <c r="AQY84" s="249"/>
      <c r="AQZ84" s="249"/>
      <c r="ARA84" s="249"/>
    </row>
    <row r="85" spans="1:1145" ht="20.100000000000001" customHeight="1">
      <c r="A85" s="99" t="s">
        <v>18</v>
      </c>
      <c r="B85" s="62"/>
      <c r="C85" s="208"/>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10"/>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248"/>
      <c r="AOU86" s="249"/>
      <c r="AOV86" s="249"/>
      <c r="AOW86" s="249"/>
      <c r="AOX86" s="249"/>
      <c r="AOY86" s="249"/>
      <c r="AOZ86" s="249"/>
      <c r="APA86" s="249"/>
      <c r="APB86" s="249"/>
      <c r="APC86" s="249"/>
      <c r="APD86" s="249"/>
      <c r="APE86" s="249"/>
      <c r="APF86" s="249"/>
      <c r="APG86" s="249"/>
      <c r="APH86" s="249"/>
      <c r="API86" s="249"/>
      <c r="APJ86" s="249"/>
      <c r="APK86" s="249"/>
      <c r="APL86" s="249"/>
      <c r="APM86" s="249"/>
      <c r="APN86" s="249"/>
      <c r="APO86" s="249"/>
      <c r="APP86" s="249"/>
      <c r="APQ86" s="249"/>
      <c r="APR86" s="249"/>
      <c r="APS86" s="249"/>
      <c r="APT86" s="249"/>
      <c r="APU86" s="249"/>
      <c r="APV86" s="249"/>
      <c r="APW86" s="249"/>
      <c r="APX86" s="249"/>
      <c r="APY86" s="249"/>
      <c r="APZ86" s="249"/>
      <c r="AQA86" s="249"/>
      <c r="AQB86" s="249"/>
      <c r="AQC86" s="249"/>
      <c r="AQD86" s="249"/>
      <c r="AQE86" s="249"/>
      <c r="AQF86" s="249"/>
      <c r="AQG86" s="249"/>
      <c r="AQH86" s="249"/>
      <c r="AQI86" s="249"/>
      <c r="AQJ86" s="249"/>
      <c r="AQK86" s="249"/>
      <c r="AQL86" s="249"/>
      <c r="AQM86" s="249"/>
      <c r="AQN86" s="249"/>
      <c r="AQO86" s="249"/>
      <c r="AQP86" s="249"/>
      <c r="AQQ86" s="249"/>
      <c r="AQR86" s="249"/>
      <c r="AQS86" s="249"/>
      <c r="AQT86" s="249"/>
      <c r="AQU86" s="249"/>
      <c r="AQV86" s="249"/>
      <c r="AQW86" s="249"/>
      <c r="AQX86" s="249"/>
      <c r="AQY86" s="249"/>
      <c r="AQZ86" s="249"/>
      <c r="ARA86" s="249"/>
    </row>
    <row r="87" spans="1:1145" ht="20.100000000000001" customHeight="1">
      <c r="A87" s="99" t="s">
        <v>18</v>
      </c>
      <c r="B87" s="62"/>
      <c r="C87" s="208"/>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09"/>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248"/>
      <c r="AOU88" s="249"/>
      <c r="AOV88" s="249"/>
      <c r="AOW88" s="249"/>
      <c r="AOX88" s="249"/>
      <c r="AOY88" s="249"/>
      <c r="AOZ88" s="249"/>
      <c r="APA88" s="249"/>
      <c r="APB88" s="249"/>
      <c r="APC88" s="249"/>
      <c r="APD88" s="249"/>
      <c r="APE88" s="249"/>
      <c r="APF88" s="249"/>
      <c r="APG88" s="249"/>
      <c r="APH88" s="249"/>
      <c r="API88" s="249"/>
      <c r="APJ88" s="249"/>
      <c r="APK88" s="249"/>
      <c r="APL88" s="249"/>
      <c r="APM88" s="249"/>
      <c r="APN88" s="249"/>
      <c r="APO88" s="249"/>
      <c r="APP88" s="249"/>
      <c r="APQ88" s="249"/>
      <c r="APR88" s="249"/>
      <c r="APS88" s="249"/>
      <c r="APT88" s="249"/>
      <c r="APU88" s="249"/>
      <c r="APV88" s="249"/>
      <c r="APW88" s="249"/>
      <c r="APX88" s="249"/>
      <c r="APY88" s="249"/>
      <c r="APZ88" s="249"/>
      <c r="AQA88" s="249"/>
      <c r="AQB88" s="249"/>
      <c r="AQC88" s="249"/>
      <c r="AQD88" s="249"/>
      <c r="AQE88" s="249"/>
      <c r="AQF88" s="249"/>
      <c r="AQG88" s="249"/>
      <c r="AQH88" s="249"/>
      <c r="AQI88" s="249"/>
      <c r="AQJ88" s="249"/>
      <c r="AQK88" s="249"/>
      <c r="AQL88" s="249"/>
      <c r="AQM88" s="249"/>
      <c r="AQN88" s="249"/>
      <c r="AQO88" s="249"/>
      <c r="AQP88" s="249"/>
      <c r="AQQ88" s="249"/>
      <c r="AQR88" s="249"/>
      <c r="AQS88" s="249"/>
      <c r="AQT88" s="249"/>
      <c r="AQU88" s="249"/>
      <c r="AQV88" s="249"/>
      <c r="AQW88" s="249"/>
      <c r="AQX88" s="249"/>
      <c r="AQY88" s="249"/>
      <c r="AQZ88" s="249"/>
      <c r="ARA88" s="249"/>
    </row>
    <row r="89" spans="1:1145" ht="20.100000000000001" customHeight="1">
      <c r="A89" s="99" t="s">
        <v>18</v>
      </c>
      <c r="B89" s="62"/>
      <c r="C89" s="208"/>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10"/>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248"/>
      <c r="AOU90" s="249"/>
      <c r="AOV90" s="249"/>
      <c r="AOW90" s="249"/>
      <c r="AOX90" s="249"/>
      <c r="AOY90" s="249"/>
      <c r="AOZ90" s="249"/>
      <c r="APA90" s="249"/>
      <c r="APB90" s="249"/>
      <c r="APC90" s="249"/>
      <c r="APD90" s="249"/>
      <c r="APE90" s="249"/>
      <c r="APF90" s="249"/>
      <c r="APG90" s="249"/>
      <c r="APH90" s="249"/>
      <c r="API90" s="249"/>
      <c r="APJ90" s="249"/>
      <c r="APK90" s="249"/>
      <c r="APL90" s="249"/>
      <c r="APM90" s="249"/>
      <c r="APN90" s="249"/>
      <c r="APO90" s="249"/>
      <c r="APP90" s="249"/>
      <c r="APQ90" s="249"/>
      <c r="APR90" s="249"/>
      <c r="APS90" s="249"/>
      <c r="APT90" s="249"/>
      <c r="APU90" s="249"/>
      <c r="APV90" s="249"/>
      <c r="APW90" s="249"/>
      <c r="APX90" s="249"/>
      <c r="APY90" s="249"/>
      <c r="APZ90" s="249"/>
      <c r="AQA90" s="249"/>
      <c r="AQB90" s="249"/>
      <c r="AQC90" s="249"/>
      <c r="AQD90" s="249"/>
      <c r="AQE90" s="249"/>
      <c r="AQF90" s="249"/>
      <c r="AQG90" s="249"/>
      <c r="AQH90" s="249"/>
      <c r="AQI90" s="249"/>
      <c r="AQJ90" s="249"/>
      <c r="AQK90" s="249"/>
      <c r="AQL90" s="249"/>
      <c r="AQM90" s="249"/>
      <c r="AQN90" s="249"/>
      <c r="AQO90" s="249"/>
      <c r="AQP90" s="249"/>
      <c r="AQQ90" s="249"/>
      <c r="AQR90" s="249"/>
      <c r="AQS90" s="249"/>
      <c r="AQT90" s="249"/>
      <c r="AQU90" s="249"/>
      <c r="AQV90" s="249"/>
      <c r="AQW90" s="249"/>
      <c r="AQX90" s="249"/>
      <c r="AQY90" s="249"/>
      <c r="AQZ90" s="249"/>
      <c r="ARA90" s="249"/>
    </row>
    <row r="91" spans="1:1145" ht="20.100000000000001" customHeight="1">
      <c r="A91" s="99" t="s">
        <v>18</v>
      </c>
      <c r="B91" s="62"/>
      <c r="C91" s="208"/>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10"/>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248"/>
      <c r="AOU92" s="249"/>
      <c r="AOV92" s="249"/>
      <c r="AOW92" s="249"/>
      <c r="AOX92" s="249"/>
      <c r="AOY92" s="249"/>
      <c r="AOZ92" s="249"/>
      <c r="APA92" s="249"/>
      <c r="APB92" s="249"/>
      <c r="APC92" s="249"/>
      <c r="APD92" s="249"/>
      <c r="APE92" s="249"/>
      <c r="APF92" s="249"/>
      <c r="APG92" s="249"/>
      <c r="APH92" s="249"/>
      <c r="API92" s="249"/>
      <c r="APJ92" s="249"/>
      <c r="APK92" s="249"/>
      <c r="APL92" s="249"/>
      <c r="APM92" s="249"/>
      <c r="APN92" s="249"/>
      <c r="APO92" s="249"/>
      <c r="APP92" s="249"/>
      <c r="APQ92" s="249"/>
      <c r="APR92" s="249"/>
      <c r="APS92" s="249"/>
      <c r="APT92" s="249"/>
      <c r="APU92" s="249"/>
      <c r="APV92" s="249"/>
      <c r="APW92" s="249"/>
      <c r="APX92" s="249"/>
      <c r="APY92" s="249"/>
      <c r="APZ92" s="249"/>
      <c r="AQA92" s="249"/>
      <c r="AQB92" s="249"/>
      <c r="AQC92" s="249"/>
      <c r="AQD92" s="249"/>
      <c r="AQE92" s="249"/>
      <c r="AQF92" s="249"/>
      <c r="AQG92" s="249"/>
      <c r="AQH92" s="249"/>
      <c r="AQI92" s="249"/>
      <c r="AQJ92" s="249"/>
      <c r="AQK92" s="249"/>
      <c r="AQL92" s="249"/>
      <c r="AQM92" s="249"/>
      <c r="AQN92" s="249"/>
      <c r="AQO92" s="249"/>
      <c r="AQP92" s="249"/>
      <c r="AQQ92" s="249"/>
      <c r="AQR92" s="249"/>
      <c r="AQS92" s="249"/>
      <c r="AQT92" s="249"/>
      <c r="AQU92" s="249"/>
      <c r="AQV92" s="249"/>
      <c r="AQW92" s="249"/>
      <c r="AQX92" s="249"/>
      <c r="AQY92" s="249"/>
      <c r="AQZ92" s="249"/>
      <c r="ARA92" s="249"/>
    </row>
    <row r="93" spans="1:1145" ht="20.100000000000001" customHeight="1">
      <c r="A93" s="99" t="s">
        <v>18</v>
      </c>
      <c r="B93" s="62"/>
      <c r="C93" s="208"/>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09"/>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248"/>
      <c r="AOU94" s="249"/>
      <c r="AOV94" s="249"/>
      <c r="AOW94" s="249"/>
      <c r="AOX94" s="249"/>
      <c r="AOY94" s="249"/>
      <c r="AOZ94" s="249"/>
      <c r="APA94" s="249"/>
      <c r="APB94" s="249"/>
      <c r="APC94" s="249"/>
      <c r="APD94" s="249"/>
      <c r="APE94" s="249"/>
      <c r="APF94" s="249"/>
      <c r="APG94" s="249"/>
      <c r="APH94" s="249"/>
      <c r="API94" s="249"/>
      <c r="APJ94" s="249"/>
      <c r="APK94" s="249"/>
      <c r="APL94" s="249"/>
      <c r="APM94" s="249"/>
      <c r="APN94" s="249"/>
      <c r="APO94" s="249"/>
      <c r="APP94" s="249"/>
      <c r="APQ94" s="249"/>
      <c r="APR94" s="249"/>
      <c r="APS94" s="249"/>
      <c r="APT94" s="249"/>
      <c r="APU94" s="249"/>
      <c r="APV94" s="249"/>
      <c r="APW94" s="249"/>
      <c r="APX94" s="249"/>
      <c r="APY94" s="249"/>
      <c r="APZ94" s="249"/>
      <c r="AQA94" s="249"/>
      <c r="AQB94" s="249"/>
      <c r="AQC94" s="249"/>
      <c r="AQD94" s="249"/>
      <c r="AQE94" s="249"/>
      <c r="AQF94" s="249"/>
      <c r="AQG94" s="249"/>
      <c r="AQH94" s="249"/>
      <c r="AQI94" s="249"/>
      <c r="AQJ94" s="249"/>
      <c r="AQK94" s="249"/>
      <c r="AQL94" s="249"/>
      <c r="AQM94" s="249"/>
      <c r="AQN94" s="249"/>
      <c r="AQO94" s="249"/>
      <c r="AQP94" s="249"/>
      <c r="AQQ94" s="249"/>
      <c r="AQR94" s="249"/>
      <c r="AQS94" s="249"/>
      <c r="AQT94" s="249"/>
      <c r="AQU94" s="249"/>
      <c r="AQV94" s="249"/>
      <c r="AQW94" s="249"/>
      <c r="AQX94" s="249"/>
      <c r="AQY94" s="249"/>
      <c r="AQZ94" s="249"/>
      <c r="ARA94" s="249"/>
    </row>
    <row r="95" spans="1:1145" ht="20.100000000000001" customHeight="1">
      <c r="B95" s="95"/>
      <c r="C95" s="220" t="s">
        <v>8</v>
      </c>
      <c r="D95" s="221"/>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22"/>
      <c r="D96" s="223"/>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24" t="s">
        <v>9</v>
      </c>
      <c r="D97" s="225"/>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26"/>
      <c r="D98" s="227"/>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241"/>
  <sheetViews>
    <sheetView showGridLines="0" tabSelected="1" zoomScaleNormal="100" zoomScaleSheetLayoutView="98" workbookViewId="0">
      <pane ySplit="1" topLeftCell="A20" activePane="bottomLeft" state="frozen"/>
      <selection activeCell="BC13" sqref="BC13"/>
      <selection pane="bottomLeft" activeCell="A4" sqref="A4"/>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20</v>
      </c>
      <c r="C2" s="162"/>
      <c r="D2" s="81" t="s">
        <v>14</v>
      </c>
      <c r="E2" s="93">
        <v>44239</v>
      </c>
      <c r="F2" s="125" t="s">
        <v>75</v>
      </c>
      <c r="G2" s="45"/>
    </row>
    <row r="3" spans="1:7" s="46" customFormat="1" ht="30" customHeight="1" thickBot="1">
      <c r="A3" s="79" t="s">
        <v>4</v>
      </c>
      <c r="B3" s="149" t="s">
        <v>38</v>
      </c>
      <c r="C3" s="150"/>
      <c r="D3" s="79" t="s">
        <v>12</v>
      </c>
      <c r="E3" s="238" t="s">
        <v>13</v>
      </c>
      <c r="F3" s="239"/>
      <c r="G3" s="45"/>
    </row>
    <row r="4" spans="1:7" s="51" customFormat="1">
      <c r="A4" s="47"/>
      <c r="B4" s="48"/>
      <c r="C4" s="151" t="str">
        <f xml:space="preserve"> IF(B4="","",setValueToTime(B4))</f>
        <v/>
      </c>
      <c r="D4" s="49"/>
      <c r="E4" s="240"/>
      <c r="F4" s="241"/>
      <c r="G4" s="50"/>
    </row>
    <row r="5" spans="1:7" s="51" customFormat="1">
      <c r="A5" s="52"/>
      <c r="B5" s="53"/>
      <c r="C5" s="152" t="str">
        <f t="shared" ref="C5:C11" si="0" xml:space="preserve"> IF(B5="","",setValueToTime(B5))</f>
        <v/>
      </c>
      <c r="D5" s="54"/>
      <c r="E5" s="232"/>
      <c r="F5" s="233"/>
      <c r="G5" s="50"/>
    </row>
    <row r="6" spans="1:7" s="51" customFormat="1">
      <c r="A6" s="52"/>
      <c r="B6" s="53"/>
      <c r="C6" s="152" t="str">
        <f t="shared" si="0"/>
        <v/>
      </c>
      <c r="D6" s="54"/>
      <c r="E6" s="232"/>
      <c r="F6" s="233"/>
      <c r="G6" s="50"/>
    </row>
    <row r="7" spans="1:7" s="51" customFormat="1">
      <c r="A7" s="52"/>
      <c r="B7" s="53"/>
      <c r="C7" s="152" t="str">
        <f t="shared" si="0"/>
        <v/>
      </c>
      <c r="D7" s="54"/>
      <c r="E7" s="232"/>
      <c r="F7" s="233"/>
      <c r="G7" s="50"/>
    </row>
    <row r="8" spans="1:7" s="51" customFormat="1">
      <c r="A8" s="53"/>
      <c r="B8" s="53"/>
      <c r="C8" s="153" t="str">
        <f t="shared" si="0"/>
        <v/>
      </c>
      <c r="D8" s="54"/>
      <c r="E8" s="232"/>
      <c r="F8" s="233"/>
      <c r="G8" s="50"/>
    </row>
    <row r="9" spans="1:7" s="51" customFormat="1">
      <c r="A9" s="53"/>
      <c r="B9" s="53"/>
      <c r="C9" s="153" t="str">
        <f t="shared" si="0"/>
        <v/>
      </c>
      <c r="D9" s="54"/>
      <c r="E9" s="232"/>
      <c r="F9" s="233"/>
      <c r="G9" s="50"/>
    </row>
    <row r="10" spans="1:7" s="51" customFormat="1">
      <c r="A10" s="53"/>
      <c r="B10" s="53"/>
      <c r="C10" s="153" t="str">
        <f t="shared" si="0"/>
        <v/>
      </c>
      <c r="D10" s="54"/>
      <c r="E10" s="232"/>
      <c r="F10" s="233"/>
      <c r="G10" s="50"/>
    </row>
    <row r="11" spans="1:7" s="51" customFormat="1" ht="15" thickBot="1">
      <c r="A11" s="55"/>
      <c r="B11" s="55"/>
      <c r="C11" s="154" t="str">
        <f t="shared" si="0"/>
        <v/>
      </c>
      <c r="D11" s="56"/>
      <c r="E11" s="234"/>
      <c r="F11" s="235"/>
      <c r="G11" s="50"/>
    </row>
    <row r="12" spans="1:7" s="51" customFormat="1" ht="15" thickBot="1">
      <c r="A12" s="110" t="s">
        <v>27</v>
      </c>
      <c r="B12" s="83">
        <f>SUM(B4:B11)</f>
        <v>0</v>
      </c>
      <c r="C12" s="110" t="str">
        <f xml:space="preserve"> setValueToTime(B12)</f>
        <v>0h</v>
      </c>
      <c r="D12" s="119"/>
      <c r="E12" s="236"/>
      <c r="F12" s="237"/>
      <c r="G12" s="50"/>
    </row>
    <row r="13" spans="1:7" s="58" customFormat="1" ht="15" thickBot="1">
      <c r="A13" s="78"/>
      <c r="B13" s="78"/>
      <c r="C13" s="78"/>
      <c r="D13" s="78"/>
      <c r="E13" s="78"/>
      <c r="F13" s="78"/>
      <c r="G13" s="57"/>
    </row>
    <row r="14" spans="1:7" s="46" customFormat="1" ht="30" customHeight="1" thickBot="1">
      <c r="A14" s="80" t="s">
        <v>11</v>
      </c>
      <c r="B14" s="162">
        <v>19</v>
      </c>
      <c r="C14" s="162"/>
      <c r="D14" s="81" t="s">
        <v>14</v>
      </c>
      <c r="E14" s="93">
        <v>44239</v>
      </c>
      <c r="F14" s="125" t="s">
        <v>74</v>
      </c>
      <c r="G14" s="45"/>
    </row>
    <row r="15" spans="1:7" s="46" customFormat="1" ht="30" customHeight="1" thickBot="1">
      <c r="A15" s="79" t="s">
        <v>4</v>
      </c>
      <c r="B15" s="149" t="s">
        <v>38</v>
      </c>
      <c r="C15" s="150"/>
      <c r="D15" s="79" t="s">
        <v>12</v>
      </c>
      <c r="E15" s="238" t="s">
        <v>13</v>
      </c>
      <c r="F15" s="239"/>
      <c r="G15" s="45"/>
    </row>
    <row r="16" spans="1:7" s="51" customFormat="1">
      <c r="A16" s="47"/>
      <c r="B16" s="48"/>
      <c r="C16" s="151" t="str">
        <f xml:space="preserve"> IF(B16="","",setValueToTime(B16))</f>
        <v/>
      </c>
      <c r="D16" s="49"/>
      <c r="E16" s="240"/>
      <c r="F16" s="241"/>
      <c r="G16" s="50"/>
    </row>
    <row r="17" spans="1:7" s="51" customFormat="1">
      <c r="A17" s="52"/>
      <c r="B17" s="53"/>
      <c r="C17" s="152" t="str">
        <f t="shared" ref="C17:C23" si="1" xml:space="preserve"> IF(B17="","",setValueToTime(B17))</f>
        <v/>
      </c>
      <c r="D17" s="54"/>
      <c r="E17" s="232"/>
      <c r="F17" s="233"/>
      <c r="G17" s="50"/>
    </row>
    <row r="18" spans="1:7" s="51" customFormat="1">
      <c r="A18" s="52"/>
      <c r="B18" s="53"/>
      <c r="C18" s="152" t="str">
        <f t="shared" si="1"/>
        <v/>
      </c>
      <c r="D18" s="54"/>
      <c r="E18" s="232"/>
      <c r="F18" s="233"/>
      <c r="G18" s="50"/>
    </row>
    <row r="19" spans="1:7" s="51" customFormat="1">
      <c r="A19" s="52"/>
      <c r="B19" s="53"/>
      <c r="C19" s="152" t="str">
        <f t="shared" si="1"/>
        <v/>
      </c>
      <c r="D19" s="54"/>
      <c r="E19" s="232"/>
      <c r="F19" s="233"/>
      <c r="G19" s="50"/>
    </row>
    <row r="20" spans="1:7" s="51" customFormat="1">
      <c r="A20" s="53"/>
      <c r="B20" s="53"/>
      <c r="C20" s="153" t="str">
        <f t="shared" si="1"/>
        <v/>
      </c>
      <c r="D20" s="54"/>
      <c r="E20" s="232"/>
      <c r="F20" s="233"/>
      <c r="G20" s="50"/>
    </row>
    <row r="21" spans="1:7" s="51" customFormat="1">
      <c r="A21" s="53"/>
      <c r="B21" s="53"/>
      <c r="C21" s="153" t="str">
        <f t="shared" si="1"/>
        <v/>
      </c>
      <c r="D21" s="54"/>
      <c r="E21" s="232"/>
      <c r="F21" s="233"/>
      <c r="G21" s="50"/>
    </row>
    <row r="22" spans="1:7" s="51" customFormat="1">
      <c r="A22" s="53"/>
      <c r="B22" s="53"/>
      <c r="C22" s="153" t="str">
        <f t="shared" si="1"/>
        <v/>
      </c>
      <c r="D22" s="54"/>
      <c r="E22" s="232"/>
      <c r="F22" s="233"/>
      <c r="G22" s="50"/>
    </row>
    <row r="23" spans="1:7" s="51" customFormat="1" ht="15" thickBot="1">
      <c r="A23" s="55"/>
      <c r="B23" s="55"/>
      <c r="C23" s="154" t="str">
        <f t="shared" si="1"/>
        <v/>
      </c>
      <c r="D23" s="56"/>
      <c r="E23" s="234"/>
      <c r="F23" s="235"/>
      <c r="G23" s="50"/>
    </row>
    <row r="24" spans="1:7" s="51" customFormat="1" ht="15" thickBot="1">
      <c r="A24" s="110" t="s">
        <v>27</v>
      </c>
      <c r="B24" s="83">
        <f>SUM(B16:B23)</f>
        <v>0</v>
      </c>
      <c r="C24" s="110" t="str">
        <f xml:space="preserve"> setValueToTime(B24)</f>
        <v>0h</v>
      </c>
      <c r="D24" s="119"/>
      <c r="E24" s="236"/>
      <c r="F24" s="237"/>
      <c r="G24" s="50"/>
    </row>
    <row r="25" spans="1:7" s="58" customFormat="1" ht="15" thickBot="1">
      <c r="A25" s="78"/>
      <c r="B25" s="78"/>
      <c r="C25" s="78"/>
      <c r="D25" s="78"/>
      <c r="E25" s="78"/>
      <c r="F25" s="78"/>
      <c r="G25" s="57"/>
    </row>
    <row r="26" spans="1:7" s="46" customFormat="1" ht="30" customHeight="1" thickBot="1">
      <c r="A26" s="80" t="s">
        <v>11</v>
      </c>
      <c r="B26" s="162">
        <v>18</v>
      </c>
      <c r="C26" s="162"/>
      <c r="D26" s="81" t="s">
        <v>14</v>
      </c>
      <c r="E26" s="93">
        <v>44238</v>
      </c>
      <c r="F26" s="125" t="s">
        <v>75</v>
      </c>
      <c r="G26" s="45"/>
    </row>
    <row r="27" spans="1:7" s="46" customFormat="1" ht="30" customHeight="1" thickBot="1">
      <c r="A27" s="79" t="s">
        <v>4</v>
      </c>
      <c r="B27" s="149" t="s">
        <v>38</v>
      </c>
      <c r="C27" s="150"/>
      <c r="D27" s="79" t="s">
        <v>12</v>
      </c>
      <c r="E27" s="238" t="s">
        <v>13</v>
      </c>
      <c r="F27" s="239"/>
      <c r="G27" s="45"/>
    </row>
    <row r="28" spans="1:7" s="51" customFormat="1">
      <c r="A28" s="47"/>
      <c r="B28" s="48"/>
      <c r="C28" s="151" t="str">
        <f xml:space="preserve"> IF(B28="","",setValueToTime(B28))</f>
        <v/>
      </c>
      <c r="D28" s="49"/>
      <c r="E28" s="240"/>
      <c r="F28" s="241"/>
      <c r="G28" s="50"/>
    </row>
    <row r="29" spans="1:7" s="51" customFormat="1">
      <c r="A29" s="52"/>
      <c r="B29" s="53"/>
      <c r="C29" s="152" t="str">
        <f t="shared" ref="C29:C35" si="2" xml:space="preserve"> IF(B29="","",setValueToTime(B29))</f>
        <v/>
      </c>
      <c r="D29" s="54"/>
      <c r="E29" s="232"/>
      <c r="F29" s="233"/>
      <c r="G29" s="50"/>
    </row>
    <row r="30" spans="1:7" s="51" customFormat="1">
      <c r="A30" s="52"/>
      <c r="B30" s="53"/>
      <c r="C30" s="152" t="str">
        <f t="shared" si="2"/>
        <v/>
      </c>
      <c r="D30" s="54"/>
      <c r="E30" s="232"/>
      <c r="F30" s="233"/>
      <c r="G30" s="50"/>
    </row>
    <row r="31" spans="1:7" s="51" customFormat="1">
      <c r="A31" s="52"/>
      <c r="B31" s="53"/>
      <c r="C31" s="152" t="str">
        <f t="shared" si="2"/>
        <v/>
      </c>
      <c r="D31" s="54"/>
      <c r="E31" s="232"/>
      <c r="F31" s="233"/>
      <c r="G31" s="50"/>
    </row>
    <row r="32" spans="1:7" s="51" customFormat="1">
      <c r="A32" s="53"/>
      <c r="B32" s="53"/>
      <c r="C32" s="153" t="str">
        <f t="shared" si="2"/>
        <v/>
      </c>
      <c r="D32" s="54"/>
      <c r="E32" s="232"/>
      <c r="F32" s="233"/>
      <c r="G32" s="50"/>
    </row>
    <row r="33" spans="1:7" s="51" customFormat="1">
      <c r="A33" s="53"/>
      <c r="B33" s="53"/>
      <c r="C33" s="153" t="str">
        <f t="shared" si="2"/>
        <v/>
      </c>
      <c r="D33" s="54"/>
      <c r="E33" s="232"/>
      <c r="F33" s="233"/>
      <c r="G33" s="50"/>
    </row>
    <row r="34" spans="1:7" s="51" customFormat="1">
      <c r="A34" s="53"/>
      <c r="B34" s="53"/>
      <c r="C34" s="153" t="str">
        <f t="shared" si="2"/>
        <v/>
      </c>
      <c r="D34" s="54"/>
      <c r="E34" s="232"/>
      <c r="F34" s="233"/>
      <c r="G34" s="50"/>
    </row>
    <row r="35" spans="1:7" s="51" customFormat="1" ht="15" thickBot="1">
      <c r="A35" s="55"/>
      <c r="B35" s="55"/>
      <c r="C35" s="154" t="str">
        <f t="shared" si="2"/>
        <v/>
      </c>
      <c r="D35" s="56"/>
      <c r="E35" s="234"/>
      <c r="F35" s="235"/>
      <c r="G35" s="50"/>
    </row>
    <row r="36" spans="1:7" s="51" customFormat="1" ht="15" thickBot="1">
      <c r="A36" s="110" t="s">
        <v>27</v>
      </c>
      <c r="B36" s="83">
        <f>SUM(B28:B35)</f>
        <v>0</v>
      </c>
      <c r="C36" s="110" t="str">
        <f xml:space="preserve"> setValueToTime(B36)</f>
        <v>0h</v>
      </c>
      <c r="D36" s="119"/>
      <c r="E36" s="236"/>
      <c r="F36" s="237"/>
      <c r="G36" s="50"/>
    </row>
    <row r="37" spans="1:7" s="58" customFormat="1" ht="15" thickBot="1">
      <c r="A37" s="78"/>
      <c r="B37" s="78"/>
      <c r="C37" s="78"/>
      <c r="D37" s="78"/>
      <c r="E37" s="78"/>
      <c r="F37" s="78"/>
      <c r="G37" s="57"/>
    </row>
    <row r="38" spans="1:7" s="46" customFormat="1" ht="30" customHeight="1" thickBot="1">
      <c r="A38" s="80" t="s">
        <v>11</v>
      </c>
      <c r="B38" s="162">
        <v>17</v>
      </c>
      <c r="C38" s="162"/>
      <c r="D38" s="81" t="s">
        <v>14</v>
      </c>
      <c r="E38" s="93">
        <v>44238</v>
      </c>
      <c r="F38" s="125" t="s">
        <v>74</v>
      </c>
      <c r="G38" s="45"/>
    </row>
    <row r="39" spans="1:7" s="46" customFormat="1" ht="30" customHeight="1" thickBot="1">
      <c r="A39" s="79" t="s">
        <v>4</v>
      </c>
      <c r="B39" s="149" t="s">
        <v>38</v>
      </c>
      <c r="C39" s="150"/>
      <c r="D39" s="79" t="s">
        <v>12</v>
      </c>
      <c r="E39" s="238" t="s">
        <v>13</v>
      </c>
      <c r="F39" s="239"/>
      <c r="G39" s="45"/>
    </row>
    <row r="40" spans="1:7" s="51" customFormat="1">
      <c r="A40" s="47"/>
      <c r="B40" s="48"/>
      <c r="C40" s="151" t="str">
        <f xml:space="preserve"> IF(B40="","",setValueToTime(B40))</f>
        <v/>
      </c>
      <c r="D40" s="49"/>
      <c r="E40" s="240"/>
      <c r="F40" s="241"/>
      <c r="G40" s="50"/>
    </row>
    <row r="41" spans="1:7" s="51" customFormat="1">
      <c r="A41" s="52"/>
      <c r="B41" s="53"/>
      <c r="C41" s="152" t="str">
        <f t="shared" ref="C41:C47" si="3" xml:space="preserve"> IF(B41="","",setValueToTime(B41))</f>
        <v/>
      </c>
      <c r="D41" s="54"/>
      <c r="E41" s="232"/>
      <c r="F41" s="233"/>
      <c r="G41" s="50"/>
    </row>
    <row r="42" spans="1:7" s="51" customFormat="1">
      <c r="A42" s="52"/>
      <c r="B42" s="53"/>
      <c r="C42" s="152" t="str">
        <f t="shared" si="3"/>
        <v/>
      </c>
      <c r="D42" s="54"/>
      <c r="E42" s="232"/>
      <c r="F42" s="233"/>
      <c r="G42" s="50"/>
    </row>
    <row r="43" spans="1:7" s="51" customFormat="1">
      <c r="A43" s="52"/>
      <c r="B43" s="53"/>
      <c r="C43" s="152" t="str">
        <f t="shared" si="3"/>
        <v/>
      </c>
      <c r="D43" s="54"/>
      <c r="E43" s="232"/>
      <c r="F43" s="233"/>
      <c r="G43" s="50"/>
    </row>
    <row r="44" spans="1:7" s="51" customFormat="1">
      <c r="A44" s="53"/>
      <c r="B44" s="53"/>
      <c r="C44" s="153" t="str">
        <f t="shared" si="3"/>
        <v/>
      </c>
      <c r="D44" s="54"/>
      <c r="E44" s="232"/>
      <c r="F44" s="233"/>
      <c r="G44" s="50"/>
    </row>
    <row r="45" spans="1:7" s="51" customFormat="1">
      <c r="A45" s="53"/>
      <c r="B45" s="53"/>
      <c r="C45" s="153" t="str">
        <f t="shared" si="3"/>
        <v/>
      </c>
      <c r="D45" s="54"/>
      <c r="E45" s="232"/>
      <c r="F45" s="233"/>
      <c r="G45" s="50"/>
    </row>
    <row r="46" spans="1:7" s="51" customFormat="1">
      <c r="A46" s="53"/>
      <c r="B46" s="53"/>
      <c r="C46" s="153" t="str">
        <f t="shared" si="3"/>
        <v/>
      </c>
      <c r="D46" s="54"/>
      <c r="E46" s="232"/>
      <c r="F46" s="233"/>
      <c r="G46" s="50"/>
    </row>
    <row r="47" spans="1:7" s="51" customFormat="1" ht="15" thickBot="1">
      <c r="A47" s="55"/>
      <c r="B47" s="55"/>
      <c r="C47" s="154" t="str">
        <f t="shared" si="3"/>
        <v/>
      </c>
      <c r="D47" s="56"/>
      <c r="E47" s="234"/>
      <c r="F47" s="235"/>
      <c r="G47" s="50"/>
    </row>
    <row r="48" spans="1:7" s="51" customFormat="1" ht="15" thickBot="1">
      <c r="A48" s="110" t="s">
        <v>27</v>
      </c>
      <c r="B48" s="83">
        <f>SUM(B40:B47)</f>
        <v>0</v>
      </c>
      <c r="C48" s="110" t="str">
        <f xml:space="preserve"> setValueToTime(B48)</f>
        <v>0h</v>
      </c>
      <c r="D48" s="119"/>
      <c r="E48" s="236"/>
      <c r="F48" s="237"/>
      <c r="G48" s="50"/>
    </row>
    <row r="49" spans="1:7" s="58" customFormat="1" ht="15" thickBot="1">
      <c r="A49" s="78"/>
      <c r="B49" s="78"/>
      <c r="C49" s="78"/>
      <c r="D49" s="78"/>
      <c r="E49" s="78"/>
      <c r="F49" s="78"/>
      <c r="G49" s="57"/>
    </row>
    <row r="50" spans="1:7" s="46" customFormat="1" ht="30" customHeight="1" thickBot="1">
      <c r="A50" s="80" t="s">
        <v>11</v>
      </c>
      <c r="B50" s="162">
        <v>16</v>
      </c>
      <c r="C50" s="162"/>
      <c r="D50" s="81" t="s">
        <v>14</v>
      </c>
      <c r="E50" s="93">
        <v>44237</v>
      </c>
      <c r="F50" s="125" t="s">
        <v>75</v>
      </c>
      <c r="G50" s="45"/>
    </row>
    <row r="51" spans="1:7" s="46" customFormat="1" ht="30" customHeight="1" thickBot="1">
      <c r="A51" s="79" t="s">
        <v>4</v>
      </c>
      <c r="B51" s="149" t="s">
        <v>38</v>
      </c>
      <c r="C51" s="150"/>
      <c r="D51" s="79" t="s">
        <v>12</v>
      </c>
      <c r="E51" s="238" t="s">
        <v>13</v>
      </c>
      <c r="F51" s="239"/>
      <c r="G51" s="45"/>
    </row>
    <row r="52" spans="1:7" s="51" customFormat="1">
      <c r="A52" s="47" t="s">
        <v>60</v>
      </c>
      <c r="B52" s="48">
        <v>33</v>
      </c>
      <c r="C52" s="151" t="str">
        <f xml:space="preserve"> IF(B52="","",setValueToTime(B52))</f>
        <v>2h45min</v>
      </c>
      <c r="D52" s="165" t="s">
        <v>144</v>
      </c>
      <c r="E52" s="240"/>
      <c r="F52" s="241"/>
      <c r="G52" s="50"/>
    </row>
    <row r="53" spans="1:7" s="51" customFormat="1">
      <c r="A53" s="52" t="s">
        <v>15</v>
      </c>
      <c r="B53" s="53">
        <v>3</v>
      </c>
      <c r="C53" s="152" t="str">
        <f t="shared" ref="C53:C59" si="4" xml:space="preserve"> IF(B53="","",setValueToTime(B53))</f>
        <v>0h15min</v>
      </c>
      <c r="D53" s="166" t="s">
        <v>145</v>
      </c>
      <c r="E53" s="232"/>
      <c r="F53" s="233"/>
      <c r="G53" s="50"/>
    </row>
    <row r="54" spans="1:7" s="51" customFormat="1">
      <c r="A54" s="52"/>
      <c r="B54" s="53"/>
      <c r="C54" s="152" t="str">
        <f t="shared" si="4"/>
        <v/>
      </c>
      <c r="D54" s="54"/>
      <c r="E54" s="232"/>
      <c r="F54" s="233"/>
      <c r="G54" s="50"/>
    </row>
    <row r="55" spans="1:7" s="51" customFormat="1">
      <c r="A55" s="52"/>
      <c r="B55" s="53"/>
      <c r="C55" s="152" t="str">
        <f t="shared" si="4"/>
        <v/>
      </c>
      <c r="D55" s="54"/>
      <c r="E55" s="232"/>
      <c r="F55" s="233"/>
      <c r="G55" s="50"/>
    </row>
    <row r="56" spans="1:7" s="51" customFormat="1">
      <c r="A56" s="53"/>
      <c r="B56" s="53"/>
      <c r="C56" s="153" t="str">
        <f t="shared" si="4"/>
        <v/>
      </c>
      <c r="D56" s="54"/>
      <c r="E56" s="232"/>
      <c r="F56" s="233"/>
      <c r="G56" s="50"/>
    </row>
    <row r="57" spans="1:7" s="51" customFormat="1">
      <c r="A57" s="53"/>
      <c r="B57" s="53"/>
      <c r="C57" s="153" t="str">
        <f t="shared" si="4"/>
        <v/>
      </c>
      <c r="D57" s="54"/>
      <c r="E57" s="232"/>
      <c r="F57" s="233"/>
      <c r="G57" s="50"/>
    </row>
    <row r="58" spans="1:7" s="51" customFormat="1">
      <c r="A58" s="53"/>
      <c r="B58" s="53"/>
      <c r="C58" s="153" t="str">
        <f t="shared" si="4"/>
        <v/>
      </c>
      <c r="D58" s="54"/>
      <c r="E58" s="232"/>
      <c r="F58" s="233"/>
      <c r="G58" s="50"/>
    </row>
    <row r="59" spans="1:7" s="51" customFormat="1" ht="15" thickBot="1">
      <c r="A59" s="55"/>
      <c r="B59" s="55"/>
      <c r="C59" s="154" t="str">
        <f t="shared" si="4"/>
        <v/>
      </c>
      <c r="D59" s="56"/>
      <c r="E59" s="234"/>
      <c r="F59" s="235"/>
      <c r="G59" s="50"/>
    </row>
    <row r="60" spans="1:7" s="51" customFormat="1" ht="15" thickBot="1">
      <c r="A60" s="110" t="s">
        <v>27</v>
      </c>
      <c r="B60" s="83">
        <f>SUM(B52:B59)</f>
        <v>36</v>
      </c>
      <c r="C60" s="110" t="str">
        <f xml:space="preserve"> setValueToTime(B60)</f>
        <v>3h</v>
      </c>
      <c r="D60" s="119"/>
      <c r="E60" s="236"/>
      <c r="F60" s="237"/>
      <c r="G60" s="50"/>
    </row>
    <row r="61" spans="1:7" s="58" customFormat="1" ht="15" thickBot="1">
      <c r="A61" s="78"/>
      <c r="B61" s="78"/>
      <c r="C61" s="78"/>
      <c r="D61" s="78"/>
      <c r="E61" s="78"/>
      <c r="F61" s="78"/>
      <c r="G61" s="57"/>
    </row>
    <row r="62" spans="1:7" s="46" customFormat="1" ht="30" customHeight="1" thickBot="1">
      <c r="A62" s="80" t="s">
        <v>11</v>
      </c>
      <c r="B62" s="162">
        <v>15</v>
      </c>
      <c r="C62" s="162"/>
      <c r="D62" s="81" t="s">
        <v>14</v>
      </c>
      <c r="E62" s="93">
        <v>44237</v>
      </c>
      <c r="F62" s="125" t="s">
        <v>74</v>
      </c>
      <c r="G62" s="45"/>
    </row>
    <row r="63" spans="1:7" s="46" customFormat="1" ht="30" customHeight="1" thickBot="1">
      <c r="A63" s="79" t="s">
        <v>4</v>
      </c>
      <c r="B63" s="149" t="s">
        <v>38</v>
      </c>
      <c r="C63" s="150"/>
      <c r="D63" s="79" t="s">
        <v>12</v>
      </c>
      <c r="E63" s="238" t="s">
        <v>13</v>
      </c>
      <c r="F63" s="239"/>
      <c r="G63" s="45"/>
    </row>
    <row r="64" spans="1:7" s="51" customFormat="1">
      <c r="A64" s="47" t="s">
        <v>60</v>
      </c>
      <c r="B64" s="48">
        <v>45</v>
      </c>
      <c r="C64" s="151" t="str">
        <f xml:space="preserve"> IF(B64="","",setValueToTime(B64))</f>
        <v>3h45min</v>
      </c>
      <c r="D64" s="165" t="s">
        <v>143</v>
      </c>
      <c r="E64" s="240"/>
      <c r="F64" s="241"/>
      <c r="G64" s="50"/>
    </row>
    <row r="65" spans="1:7" s="51" customFormat="1">
      <c r="A65" s="52"/>
      <c r="B65" s="53"/>
      <c r="C65" s="152" t="str">
        <f t="shared" ref="C65:C71" si="5" xml:space="preserve"> IF(B65="","",setValueToTime(B65))</f>
        <v/>
      </c>
      <c r="D65" s="54"/>
      <c r="E65" s="232"/>
      <c r="F65" s="233"/>
      <c r="G65" s="50"/>
    </row>
    <row r="66" spans="1:7" s="51" customFormat="1">
      <c r="A66" s="52"/>
      <c r="B66" s="53"/>
      <c r="C66" s="152" t="str">
        <f t="shared" si="5"/>
        <v/>
      </c>
      <c r="D66" s="54"/>
      <c r="E66" s="232"/>
      <c r="F66" s="233"/>
      <c r="G66" s="50"/>
    </row>
    <row r="67" spans="1:7" s="51" customFormat="1">
      <c r="A67" s="52"/>
      <c r="B67" s="53"/>
      <c r="C67" s="152" t="str">
        <f t="shared" si="5"/>
        <v/>
      </c>
      <c r="D67" s="54"/>
      <c r="E67" s="232"/>
      <c r="F67" s="233"/>
      <c r="G67" s="50"/>
    </row>
    <row r="68" spans="1:7" s="51" customFormat="1">
      <c r="A68" s="53"/>
      <c r="B68" s="53"/>
      <c r="C68" s="153" t="str">
        <f t="shared" si="5"/>
        <v/>
      </c>
      <c r="D68" s="54"/>
      <c r="E68" s="232"/>
      <c r="F68" s="233"/>
      <c r="G68" s="50"/>
    </row>
    <row r="69" spans="1:7" s="51" customFormat="1">
      <c r="A69" s="53"/>
      <c r="B69" s="53"/>
      <c r="C69" s="153" t="str">
        <f t="shared" si="5"/>
        <v/>
      </c>
      <c r="D69" s="54"/>
      <c r="E69" s="232"/>
      <c r="F69" s="233"/>
      <c r="G69" s="50"/>
    </row>
    <row r="70" spans="1:7" s="51" customFormat="1">
      <c r="A70" s="53"/>
      <c r="B70" s="53"/>
      <c r="C70" s="153" t="str">
        <f t="shared" si="5"/>
        <v/>
      </c>
      <c r="D70" s="54"/>
      <c r="E70" s="232"/>
      <c r="F70" s="233"/>
      <c r="G70" s="50"/>
    </row>
    <row r="71" spans="1:7" s="51" customFormat="1" ht="15" thickBot="1">
      <c r="A71" s="55"/>
      <c r="B71" s="55"/>
      <c r="C71" s="154" t="str">
        <f t="shared" si="5"/>
        <v/>
      </c>
      <c r="D71" s="56"/>
      <c r="E71" s="234"/>
      <c r="F71" s="235"/>
      <c r="G71" s="50"/>
    </row>
    <row r="72" spans="1:7" s="51" customFormat="1" ht="15" thickBot="1">
      <c r="A72" s="110" t="s">
        <v>27</v>
      </c>
      <c r="B72" s="83">
        <f>SUM(B64:B71)</f>
        <v>45</v>
      </c>
      <c r="C72" s="110" t="str">
        <f xml:space="preserve"> setValueToTime(B72)</f>
        <v>3h45min</v>
      </c>
      <c r="D72" s="119"/>
      <c r="E72" s="236"/>
      <c r="F72" s="237"/>
      <c r="G72" s="50"/>
    </row>
    <row r="73" spans="1:7" s="58" customFormat="1" ht="15" thickBot="1">
      <c r="A73" s="78"/>
      <c r="B73" s="78"/>
      <c r="C73" s="78"/>
      <c r="D73" s="78"/>
      <c r="E73" s="78"/>
      <c r="F73" s="78"/>
      <c r="G73" s="57"/>
    </row>
    <row r="74" spans="1:7" s="46" customFormat="1" ht="30" customHeight="1" thickBot="1">
      <c r="A74" s="80" t="s">
        <v>11</v>
      </c>
      <c r="B74" s="162">
        <v>14</v>
      </c>
      <c r="C74" s="162"/>
      <c r="D74" s="81" t="s">
        <v>14</v>
      </c>
      <c r="E74" s="93">
        <v>44235</v>
      </c>
      <c r="F74" s="125" t="s">
        <v>74</v>
      </c>
      <c r="G74" s="45"/>
    </row>
    <row r="75" spans="1:7" s="46" customFormat="1" ht="30" customHeight="1" thickBot="1">
      <c r="A75" s="79" t="s">
        <v>4</v>
      </c>
      <c r="B75" s="149" t="s">
        <v>38</v>
      </c>
      <c r="C75" s="150"/>
      <c r="D75" s="79" t="s">
        <v>12</v>
      </c>
      <c r="E75" s="238" t="s">
        <v>13</v>
      </c>
      <c r="F75" s="239"/>
      <c r="G75" s="45"/>
    </row>
    <row r="76" spans="1:7" s="51" customFormat="1">
      <c r="A76" s="47" t="s">
        <v>51</v>
      </c>
      <c r="B76" s="48">
        <v>36</v>
      </c>
      <c r="C76" s="151" t="str">
        <f xml:space="preserve"> IF(B76="","",setValueToTime(B76))</f>
        <v>3h</v>
      </c>
      <c r="D76" s="165" t="s">
        <v>142</v>
      </c>
      <c r="E76" s="240"/>
      <c r="F76" s="241"/>
      <c r="G76" s="50"/>
    </row>
    <row r="77" spans="1:7" s="51" customFormat="1">
      <c r="A77" s="52"/>
      <c r="B77" s="53"/>
      <c r="C77" s="152" t="str">
        <f t="shared" ref="C77:C83" si="6" xml:space="preserve"> IF(B77="","",setValueToTime(B77))</f>
        <v/>
      </c>
      <c r="D77" s="54"/>
      <c r="E77" s="232"/>
      <c r="F77" s="233"/>
      <c r="G77" s="50"/>
    </row>
    <row r="78" spans="1:7" s="51" customFormat="1">
      <c r="A78" s="52"/>
      <c r="B78" s="53"/>
      <c r="C78" s="152" t="str">
        <f t="shared" si="6"/>
        <v/>
      </c>
      <c r="D78" s="54"/>
      <c r="E78" s="232"/>
      <c r="F78" s="233"/>
      <c r="G78" s="50"/>
    </row>
    <row r="79" spans="1:7" s="51" customFormat="1">
      <c r="A79" s="52"/>
      <c r="B79" s="53"/>
      <c r="C79" s="152" t="str">
        <f t="shared" si="6"/>
        <v/>
      </c>
      <c r="D79" s="54"/>
      <c r="E79" s="232"/>
      <c r="F79" s="233"/>
      <c r="G79" s="50"/>
    </row>
    <row r="80" spans="1:7" s="51" customFormat="1">
      <c r="A80" s="53"/>
      <c r="B80" s="53"/>
      <c r="C80" s="153" t="str">
        <f t="shared" si="6"/>
        <v/>
      </c>
      <c r="D80" s="54"/>
      <c r="E80" s="232"/>
      <c r="F80" s="233"/>
      <c r="G80" s="50"/>
    </row>
    <row r="81" spans="1:7" s="51" customFormat="1">
      <c r="A81" s="53"/>
      <c r="B81" s="53"/>
      <c r="C81" s="153" t="str">
        <f t="shared" si="6"/>
        <v/>
      </c>
      <c r="D81" s="54"/>
      <c r="E81" s="232"/>
      <c r="F81" s="233"/>
      <c r="G81" s="50"/>
    </row>
    <row r="82" spans="1:7" s="51" customFormat="1">
      <c r="A82" s="53"/>
      <c r="B82" s="53"/>
      <c r="C82" s="153" t="str">
        <f t="shared" si="6"/>
        <v/>
      </c>
      <c r="D82" s="54"/>
      <c r="E82" s="232"/>
      <c r="F82" s="233"/>
      <c r="G82" s="50"/>
    </row>
    <row r="83" spans="1:7" s="51" customFormat="1" ht="15" thickBot="1">
      <c r="A83" s="55"/>
      <c r="B83" s="55"/>
      <c r="C83" s="154" t="str">
        <f t="shared" si="6"/>
        <v/>
      </c>
      <c r="D83" s="56"/>
      <c r="E83" s="234"/>
      <c r="F83" s="235"/>
      <c r="G83" s="50"/>
    </row>
    <row r="84" spans="1:7" s="51" customFormat="1" ht="15" thickBot="1">
      <c r="A84" s="110" t="s">
        <v>27</v>
      </c>
      <c r="B84" s="83">
        <f>SUM(B76:B83)</f>
        <v>36</v>
      </c>
      <c r="C84" s="110" t="str">
        <f xml:space="preserve"> setValueToTime(B84)</f>
        <v>3h</v>
      </c>
      <c r="D84" s="119"/>
      <c r="E84" s="236"/>
      <c r="F84" s="237"/>
      <c r="G84" s="50"/>
    </row>
    <row r="85" spans="1:7" s="58" customFormat="1" ht="15" thickBot="1">
      <c r="A85" s="78"/>
      <c r="B85" s="78"/>
      <c r="C85" s="78"/>
      <c r="D85" s="78"/>
      <c r="E85" s="78"/>
      <c r="F85" s="78"/>
      <c r="G85" s="57"/>
    </row>
    <row r="86" spans="1:7" s="46" customFormat="1" ht="30" customHeight="1" thickBot="1">
      <c r="A86" s="80" t="s">
        <v>11</v>
      </c>
      <c r="B86" s="162">
        <v>13</v>
      </c>
      <c r="C86" s="162"/>
      <c r="D86" s="81" t="s">
        <v>14</v>
      </c>
      <c r="E86" s="93">
        <v>44232</v>
      </c>
      <c r="F86" s="125" t="s">
        <v>75</v>
      </c>
      <c r="G86" s="45"/>
    </row>
    <row r="87" spans="1:7" s="46" customFormat="1" ht="30" customHeight="1" thickBot="1">
      <c r="A87" s="79" t="s">
        <v>4</v>
      </c>
      <c r="B87" s="149" t="s">
        <v>38</v>
      </c>
      <c r="C87" s="150"/>
      <c r="D87" s="79" t="s">
        <v>12</v>
      </c>
      <c r="E87" s="238" t="s">
        <v>13</v>
      </c>
      <c r="F87" s="239"/>
      <c r="G87" s="45"/>
    </row>
    <row r="88" spans="1:7" s="51" customFormat="1" ht="27">
      <c r="A88" s="47" t="s">
        <v>117</v>
      </c>
      <c r="B88" s="48">
        <v>33</v>
      </c>
      <c r="C88" s="151" t="str">
        <f xml:space="preserve"> IF(B88="","",setValueToTime(B88))</f>
        <v>2h45min</v>
      </c>
      <c r="D88" s="165" t="s">
        <v>124</v>
      </c>
      <c r="E88" s="240"/>
      <c r="F88" s="241"/>
      <c r="G88" s="50"/>
    </row>
    <row r="89" spans="1:7" s="51" customFormat="1">
      <c r="A89" s="52" t="s">
        <v>15</v>
      </c>
      <c r="B89" s="53">
        <v>3</v>
      </c>
      <c r="C89" s="152" t="str">
        <f t="shared" ref="C89:C95" si="7" xml:space="preserve"> IF(B89="","",setValueToTime(B89))</f>
        <v>0h15min</v>
      </c>
      <c r="D89" s="166" t="s">
        <v>114</v>
      </c>
      <c r="E89" s="232"/>
      <c r="F89" s="233"/>
      <c r="G89" s="50"/>
    </row>
    <row r="90" spans="1:7" s="51" customFormat="1">
      <c r="A90" s="52"/>
      <c r="B90" s="53"/>
      <c r="C90" s="152" t="str">
        <f t="shared" si="7"/>
        <v/>
      </c>
      <c r="D90" s="54"/>
      <c r="E90" s="232"/>
      <c r="F90" s="233"/>
      <c r="G90" s="50"/>
    </row>
    <row r="91" spans="1:7" s="51" customFormat="1">
      <c r="A91" s="52"/>
      <c r="B91" s="53"/>
      <c r="C91" s="152" t="str">
        <f t="shared" si="7"/>
        <v/>
      </c>
      <c r="D91" s="54"/>
      <c r="E91" s="232"/>
      <c r="F91" s="233"/>
      <c r="G91" s="50"/>
    </row>
    <row r="92" spans="1:7" s="51" customFormat="1">
      <c r="A92" s="53"/>
      <c r="B92" s="53"/>
      <c r="C92" s="153" t="str">
        <f t="shared" si="7"/>
        <v/>
      </c>
      <c r="D92" s="54"/>
      <c r="E92" s="232"/>
      <c r="F92" s="233"/>
      <c r="G92" s="50"/>
    </row>
    <row r="93" spans="1:7" s="51" customFormat="1">
      <c r="A93" s="53"/>
      <c r="B93" s="53"/>
      <c r="C93" s="153" t="str">
        <f t="shared" si="7"/>
        <v/>
      </c>
      <c r="D93" s="54"/>
      <c r="E93" s="232"/>
      <c r="F93" s="233"/>
      <c r="G93" s="50"/>
    </row>
    <row r="94" spans="1:7" s="51" customFormat="1">
      <c r="A94" s="53"/>
      <c r="B94" s="53"/>
      <c r="C94" s="153" t="str">
        <f t="shared" si="7"/>
        <v/>
      </c>
      <c r="D94" s="54"/>
      <c r="E94" s="232"/>
      <c r="F94" s="233"/>
      <c r="G94" s="50"/>
    </row>
    <row r="95" spans="1:7" s="51" customFormat="1" ht="15" thickBot="1">
      <c r="A95" s="55"/>
      <c r="B95" s="55"/>
      <c r="C95" s="154" t="str">
        <f t="shared" si="7"/>
        <v/>
      </c>
      <c r="D95" s="56"/>
      <c r="E95" s="234"/>
      <c r="F95" s="235"/>
      <c r="G95" s="50"/>
    </row>
    <row r="96" spans="1:7" s="51" customFormat="1" ht="15" thickBot="1">
      <c r="A96" s="110" t="s">
        <v>27</v>
      </c>
      <c r="B96" s="83">
        <f>SUM(B88:B95)</f>
        <v>36</v>
      </c>
      <c r="C96" s="110" t="str">
        <f xml:space="preserve"> setValueToTime(B96)</f>
        <v>3h</v>
      </c>
      <c r="D96" s="119"/>
      <c r="E96" s="236"/>
      <c r="F96" s="237"/>
      <c r="G96" s="50"/>
    </row>
    <row r="97" spans="1:7" s="58" customFormat="1" ht="15" thickBot="1">
      <c r="A97" s="78"/>
      <c r="B97" s="78"/>
      <c r="C97" s="78"/>
      <c r="D97" s="78"/>
      <c r="E97" s="78"/>
      <c r="F97" s="78"/>
      <c r="G97" s="57"/>
    </row>
    <row r="98" spans="1:7" s="46" customFormat="1" ht="30" customHeight="1" thickBot="1">
      <c r="A98" s="80" t="s">
        <v>11</v>
      </c>
      <c r="B98" s="162">
        <v>12</v>
      </c>
      <c r="C98" s="162"/>
      <c r="D98" s="81" t="s">
        <v>14</v>
      </c>
      <c r="E98" s="93">
        <v>44232</v>
      </c>
      <c r="F98" s="125" t="s">
        <v>74</v>
      </c>
      <c r="G98" s="45"/>
    </row>
    <row r="99" spans="1:7" s="46" customFormat="1" ht="30" customHeight="1" thickBot="1">
      <c r="A99" s="79" t="s">
        <v>4</v>
      </c>
      <c r="B99" s="149" t="s">
        <v>38</v>
      </c>
      <c r="C99" s="150"/>
      <c r="D99" s="79" t="s">
        <v>12</v>
      </c>
      <c r="E99" s="238" t="s">
        <v>13</v>
      </c>
      <c r="F99" s="239"/>
      <c r="G99" s="45"/>
    </row>
    <row r="100" spans="1:7" s="51" customFormat="1" ht="27">
      <c r="A100" s="47" t="s">
        <v>62</v>
      </c>
      <c r="B100" s="48">
        <v>36</v>
      </c>
      <c r="C100" s="151" t="str">
        <f xml:space="preserve"> IF(B100="","",setValueToTime(B100))</f>
        <v>3h</v>
      </c>
      <c r="D100" s="165" t="s">
        <v>123</v>
      </c>
      <c r="E100" s="240"/>
      <c r="F100" s="241"/>
      <c r="G100" s="50"/>
    </row>
    <row r="101" spans="1:7" s="51" customFormat="1">
      <c r="A101" s="52"/>
      <c r="B101" s="53"/>
      <c r="C101" s="152" t="str">
        <f t="shared" ref="C101:C107" si="8" xml:space="preserve"> IF(B101="","",setValueToTime(B101))</f>
        <v/>
      </c>
      <c r="D101" s="54"/>
      <c r="E101" s="232"/>
      <c r="F101" s="233"/>
      <c r="G101" s="50"/>
    </row>
    <row r="102" spans="1:7" s="51" customFormat="1">
      <c r="A102" s="52"/>
      <c r="B102" s="53"/>
      <c r="C102" s="152" t="str">
        <f t="shared" si="8"/>
        <v/>
      </c>
      <c r="D102" s="54"/>
      <c r="E102" s="232"/>
      <c r="F102" s="233"/>
      <c r="G102" s="50"/>
    </row>
    <row r="103" spans="1:7" s="51" customFormat="1">
      <c r="A103" s="52"/>
      <c r="B103" s="53"/>
      <c r="C103" s="152" t="str">
        <f t="shared" si="8"/>
        <v/>
      </c>
      <c r="D103" s="54"/>
      <c r="E103" s="232"/>
      <c r="F103" s="233"/>
      <c r="G103" s="50"/>
    </row>
    <row r="104" spans="1:7" s="51" customFormat="1">
      <c r="A104" s="53"/>
      <c r="B104" s="53"/>
      <c r="C104" s="153" t="str">
        <f t="shared" si="8"/>
        <v/>
      </c>
      <c r="D104" s="54"/>
      <c r="E104" s="232"/>
      <c r="F104" s="233"/>
      <c r="G104" s="50"/>
    </row>
    <row r="105" spans="1:7" s="51" customFormat="1">
      <c r="A105" s="53"/>
      <c r="B105" s="53"/>
      <c r="C105" s="153" t="str">
        <f t="shared" si="8"/>
        <v/>
      </c>
      <c r="D105" s="54"/>
      <c r="E105" s="232"/>
      <c r="F105" s="233"/>
      <c r="G105" s="50"/>
    </row>
    <row r="106" spans="1:7" s="51" customFormat="1">
      <c r="A106" s="53"/>
      <c r="B106" s="53"/>
      <c r="C106" s="153" t="str">
        <f t="shared" si="8"/>
        <v/>
      </c>
      <c r="D106" s="54"/>
      <c r="E106" s="232"/>
      <c r="F106" s="233"/>
      <c r="G106" s="50"/>
    </row>
    <row r="107" spans="1:7" s="51" customFormat="1" ht="15" thickBot="1">
      <c r="A107" s="55"/>
      <c r="B107" s="55"/>
      <c r="C107" s="154" t="str">
        <f t="shared" si="8"/>
        <v/>
      </c>
      <c r="D107" s="56"/>
      <c r="E107" s="234"/>
      <c r="F107" s="235"/>
      <c r="G107" s="50"/>
    </row>
    <row r="108" spans="1:7" s="51" customFormat="1" ht="15" thickBot="1">
      <c r="A108" s="110" t="s">
        <v>27</v>
      </c>
      <c r="B108" s="83">
        <f>SUM(B100:B107)</f>
        <v>36</v>
      </c>
      <c r="C108" s="110" t="str">
        <f xml:space="preserve"> setValueToTime(B108)</f>
        <v>3h</v>
      </c>
      <c r="D108" s="119"/>
      <c r="E108" s="236"/>
      <c r="F108" s="237"/>
      <c r="G108" s="50"/>
    </row>
    <row r="109" spans="1:7" s="58" customFormat="1" ht="15" thickBot="1">
      <c r="A109" s="78"/>
      <c r="B109" s="78"/>
      <c r="C109" s="78"/>
      <c r="D109" s="78"/>
      <c r="E109" s="78"/>
      <c r="F109" s="78"/>
      <c r="G109" s="57"/>
    </row>
    <row r="110" spans="1:7" s="46" customFormat="1" ht="30" customHeight="1" thickBot="1">
      <c r="A110" s="80" t="s">
        <v>11</v>
      </c>
      <c r="B110" s="162">
        <v>11</v>
      </c>
      <c r="C110" s="162"/>
      <c r="D110" s="81" t="s">
        <v>14</v>
      </c>
      <c r="E110" s="93">
        <v>44231</v>
      </c>
      <c r="F110" s="125" t="s">
        <v>75</v>
      </c>
      <c r="G110" s="45"/>
    </row>
    <row r="111" spans="1:7" s="46" customFormat="1" ht="30" customHeight="1" thickBot="1">
      <c r="A111" s="79" t="s">
        <v>4</v>
      </c>
      <c r="B111" s="149" t="s">
        <v>38</v>
      </c>
      <c r="C111" s="150"/>
      <c r="D111" s="79" t="s">
        <v>12</v>
      </c>
      <c r="E111" s="238" t="s">
        <v>13</v>
      </c>
      <c r="F111" s="239"/>
      <c r="G111" s="45"/>
    </row>
    <row r="112" spans="1:7" s="51" customFormat="1">
      <c r="A112" s="47" t="s">
        <v>59</v>
      </c>
      <c r="B112" s="48">
        <v>18</v>
      </c>
      <c r="C112" s="151" t="str">
        <f xml:space="preserve"> IF(B112="","",setValueToTime(B112))</f>
        <v>1h30min</v>
      </c>
      <c r="D112" s="165" t="s">
        <v>120</v>
      </c>
      <c r="E112" s="240"/>
      <c r="F112" s="241"/>
      <c r="G112" s="50"/>
    </row>
    <row r="113" spans="1:7" s="51" customFormat="1" ht="27">
      <c r="A113" s="52" t="s">
        <v>62</v>
      </c>
      <c r="B113" s="53">
        <v>15</v>
      </c>
      <c r="C113" s="152" t="str">
        <f t="shared" ref="C113:C119" si="9" xml:space="preserve"> IF(B113="","",setValueToTime(B113))</f>
        <v>1h15min</v>
      </c>
      <c r="D113" s="166" t="s">
        <v>122</v>
      </c>
      <c r="E113" s="232"/>
      <c r="F113" s="233"/>
      <c r="G113" s="50"/>
    </row>
    <row r="114" spans="1:7" s="51" customFormat="1">
      <c r="A114" s="52" t="s">
        <v>15</v>
      </c>
      <c r="B114" s="53">
        <v>3</v>
      </c>
      <c r="C114" s="152" t="str">
        <f t="shared" si="9"/>
        <v>0h15min</v>
      </c>
      <c r="D114" s="166" t="s">
        <v>106</v>
      </c>
      <c r="E114" s="232"/>
      <c r="F114" s="233"/>
      <c r="G114" s="50"/>
    </row>
    <row r="115" spans="1:7" s="51" customFormat="1">
      <c r="A115" s="52"/>
      <c r="B115" s="53"/>
      <c r="C115" s="152" t="str">
        <f t="shared" si="9"/>
        <v/>
      </c>
      <c r="D115" s="54"/>
      <c r="E115" s="232"/>
      <c r="F115" s="233"/>
      <c r="G115" s="50"/>
    </row>
    <row r="116" spans="1:7" s="51" customFormat="1">
      <c r="A116" s="53"/>
      <c r="B116" s="53"/>
      <c r="C116" s="153" t="str">
        <f t="shared" si="9"/>
        <v/>
      </c>
      <c r="D116" s="54"/>
      <c r="E116" s="232"/>
      <c r="F116" s="233"/>
      <c r="G116" s="50"/>
    </row>
    <row r="117" spans="1:7" s="51" customFormat="1">
      <c r="A117" s="53"/>
      <c r="B117" s="53"/>
      <c r="C117" s="153" t="str">
        <f t="shared" si="9"/>
        <v/>
      </c>
      <c r="D117" s="54"/>
      <c r="E117" s="232"/>
      <c r="F117" s="233"/>
      <c r="G117" s="50"/>
    </row>
    <row r="118" spans="1:7" s="51" customFormat="1">
      <c r="A118" s="53"/>
      <c r="B118" s="53"/>
      <c r="C118" s="153" t="str">
        <f t="shared" si="9"/>
        <v/>
      </c>
      <c r="D118" s="54"/>
      <c r="E118" s="232"/>
      <c r="F118" s="233"/>
      <c r="G118" s="50"/>
    </row>
    <row r="119" spans="1:7" s="51" customFormat="1" ht="15" thickBot="1">
      <c r="A119" s="55"/>
      <c r="B119" s="55"/>
      <c r="C119" s="154" t="str">
        <f t="shared" si="9"/>
        <v/>
      </c>
      <c r="D119" s="56"/>
      <c r="E119" s="234"/>
      <c r="F119" s="235"/>
      <c r="G119" s="50"/>
    </row>
    <row r="120" spans="1:7" s="51" customFormat="1" ht="15" thickBot="1">
      <c r="A120" s="110" t="s">
        <v>27</v>
      </c>
      <c r="B120" s="83">
        <f>SUM(B112:B119)</f>
        <v>36</v>
      </c>
      <c r="C120" s="110" t="str">
        <f xml:space="preserve"> setValueToTime(B120)</f>
        <v>3h</v>
      </c>
      <c r="D120" s="119"/>
      <c r="E120" s="236"/>
      <c r="F120" s="237"/>
      <c r="G120" s="50"/>
    </row>
    <row r="121" spans="1:7" s="58" customFormat="1" ht="15" thickBot="1">
      <c r="A121" s="78"/>
      <c r="B121" s="78"/>
      <c r="C121" s="78"/>
      <c r="D121" s="78"/>
      <c r="E121" s="78"/>
      <c r="F121" s="78"/>
      <c r="G121" s="57"/>
    </row>
    <row r="122" spans="1:7" s="46" customFormat="1" ht="30" customHeight="1" thickBot="1">
      <c r="A122" s="80" t="s">
        <v>11</v>
      </c>
      <c r="B122" s="162">
        <v>10</v>
      </c>
      <c r="C122" s="162"/>
      <c r="D122" s="81" t="s">
        <v>14</v>
      </c>
      <c r="E122" s="93">
        <v>44231</v>
      </c>
      <c r="F122" s="125" t="s">
        <v>74</v>
      </c>
      <c r="G122" s="45"/>
    </row>
    <row r="123" spans="1:7" s="46" customFormat="1" ht="30" customHeight="1" thickBot="1">
      <c r="A123" s="79" t="s">
        <v>4</v>
      </c>
      <c r="B123" s="149" t="s">
        <v>38</v>
      </c>
      <c r="C123" s="150"/>
      <c r="D123" s="79" t="s">
        <v>12</v>
      </c>
      <c r="E123" s="238" t="s">
        <v>13</v>
      </c>
      <c r="F123" s="239"/>
      <c r="G123" s="45"/>
    </row>
    <row r="124" spans="1:7" s="51" customFormat="1">
      <c r="A124" s="47" t="s">
        <v>59</v>
      </c>
      <c r="B124" s="48">
        <v>45</v>
      </c>
      <c r="C124" s="151" t="str">
        <f xml:space="preserve"> IF(B124="","",setValueToTime(B124))</f>
        <v>3h45min</v>
      </c>
      <c r="D124" s="165" t="s">
        <v>121</v>
      </c>
      <c r="E124" s="240"/>
      <c r="F124" s="241"/>
      <c r="G124" s="50"/>
    </row>
    <row r="125" spans="1:7" s="51" customFormat="1">
      <c r="A125" s="52"/>
      <c r="B125" s="53"/>
      <c r="C125" s="152" t="str">
        <f t="shared" ref="C125:C131" si="10" xml:space="preserve"> IF(B125="","",setValueToTime(B125))</f>
        <v/>
      </c>
      <c r="D125" s="54"/>
      <c r="E125" s="232"/>
      <c r="F125" s="233"/>
      <c r="G125" s="50"/>
    </row>
    <row r="126" spans="1:7" s="51" customFormat="1">
      <c r="A126" s="52"/>
      <c r="B126" s="53"/>
      <c r="C126" s="152" t="str">
        <f t="shared" si="10"/>
        <v/>
      </c>
      <c r="D126" s="54"/>
      <c r="E126" s="232"/>
      <c r="F126" s="233"/>
      <c r="G126" s="50"/>
    </row>
    <row r="127" spans="1:7" s="51" customFormat="1">
      <c r="A127" s="52"/>
      <c r="B127" s="53"/>
      <c r="C127" s="152" t="str">
        <f t="shared" si="10"/>
        <v/>
      </c>
      <c r="D127" s="54"/>
      <c r="E127" s="232"/>
      <c r="F127" s="233"/>
      <c r="G127" s="50"/>
    </row>
    <row r="128" spans="1:7" s="51" customFormat="1">
      <c r="A128" s="53"/>
      <c r="B128" s="53"/>
      <c r="C128" s="153" t="str">
        <f t="shared" si="10"/>
        <v/>
      </c>
      <c r="D128" s="54"/>
      <c r="E128" s="232"/>
      <c r="F128" s="233"/>
      <c r="G128" s="50"/>
    </row>
    <row r="129" spans="1:7" s="51" customFormat="1">
      <c r="A129" s="53"/>
      <c r="B129" s="53"/>
      <c r="C129" s="153" t="str">
        <f t="shared" si="10"/>
        <v/>
      </c>
      <c r="D129" s="54"/>
      <c r="E129" s="232"/>
      <c r="F129" s="233"/>
      <c r="G129" s="50"/>
    </row>
    <row r="130" spans="1:7" s="51" customFormat="1">
      <c r="A130" s="53"/>
      <c r="B130" s="53"/>
      <c r="C130" s="153" t="str">
        <f t="shared" si="10"/>
        <v/>
      </c>
      <c r="D130" s="54"/>
      <c r="E130" s="232"/>
      <c r="F130" s="233"/>
      <c r="G130" s="50"/>
    </row>
    <row r="131" spans="1:7" s="51" customFormat="1" ht="15" thickBot="1">
      <c r="A131" s="55"/>
      <c r="B131" s="55"/>
      <c r="C131" s="154" t="str">
        <f t="shared" si="10"/>
        <v/>
      </c>
      <c r="D131" s="56"/>
      <c r="E131" s="234"/>
      <c r="F131" s="235"/>
      <c r="G131" s="50"/>
    </row>
    <row r="132" spans="1:7" s="51" customFormat="1" ht="15" thickBot="1">
      <c r="A132" s="110" t="s">
        <v>27</v>
      </c>
      <c r="B132" s="83">
        <f>SUM(B124:B131)</f>
        <v>45</v>
      </c>
      <c r="C132" s="110" t="str">
        <f xml:space="preserve"> setValueToTime(B132)</f>
        <v>3h45min</v>
      </c>
      <c r="D132" s="119"/>
      <c r="E132" s="236"/>
      <c r="F132" s="237"/>
      <c r="G132" s="50"/>
    </row>
    <row r="133" spans="1:7" s="58" customFormat="1" ht="15" thickBot="1">
      <c r="A133" s="78"/>
      <c r="B133" s="78"/>
      <c r="C133" s="78"/>
      <c r="D133" s="78"/>
      <c r="E133" s="78"/>
      <c r="F133" s="78"/>
      <c r="G133" s="57"/>
    </row>
    <row r="134" spans="1:7" s="46" customFormat="1" ht="30" customHeight="1" thickBot="1">
      <c r="A134" s="80" t="s">
        <v>11</v>
      </c>
      <c r="B134" s="162">
        <v>9</v>
      </c>
      <c r="C134" s="162"/>
      <c r="D134" s="81" t="s">
        <v>14</v>
      </c>
      <c r="E134" s="93">
        <v>44230</v>
      </c>
      <c r="F134" s="125" t="s">
        <v>75</v>
      </c>
      <c r="G134" s="45"/>
    </row>
    <row r="135" spans="1:7" s="46" customFormat="1" ht="30" customHeight="1" thickBot="1">
      <c r="A135" s="79" t="s">
        <v>4</v>
      </c>
      <c r="B135" s="149" t="s">
        <v>38</v>
      </c>
      <c r="C135" s="150"/>
      <c r="D135" s="79" t="s">
        <v>12</v>
      </c>
      <c r="E135" s="238" t="s">
        <v>13</v>
      </c>
      <c r="F135" s="239"/>
      <c r="G135" s="45"/>
    </row>
    <row r="136" spans="1:7" s="51" customFormat="1">
      <c r="A136" s="47" t="s">
        <v>60</v>
      </c>
      <c r="B136" s="48">
        <v>18</v>
      </c>
      <c r="C136" s="151" t="str">
        <f xml:space="preserve"> IF(B136="","",setValueToTime(B136))</f>
        <v>1h30min</v>
      </c>
      <c r="D136" s="165" t="s">
        <v>116</v>
      </c>
      <c r="E136" s="240"/>
      <c r="F136" s="241"/>
      <c r="G136" s="50"/>
    </row>
    <row r="137" spans="1:7" s="51" customFormat="1">
      <c r="A137" s="52" t="s">
        <v>59</v>
      </c>
      <c r="B137" s="53">
        <v>15</v>
      </c>
      <c r="C137" s="152" t="str">
        <f t="shared" ref="C137:C143" si="11" xml:space="preserve"> IF(B137="","",setValueToTime(B137))</f>
        <v>1h15min</v>
      </c>
      <c r="D137" s="166" t="s">
        <v>119</v>
      </c>
      <c r="E137" s="232"/>
      <c r="F137" s="233"/>
      <c r="G137" s="50"/>
    </row>
    <row r="138" spans="1:7" s="51" customFormat="1">
      <c r="A138" s="52" t="s">
        <v>15</v>
      </c>
      <c r="B138" s="53">
        <v>3</v>
      </c>
      <c r="C138" s="152" t="str">
        <f t="shared" si="11"/>
        <v>0h15min</v>
      </c>
      <c r="D138" s="166" t="s">
        <v>106</v>
      </c>
      <c r="E138" s="232"/>
      <c r="F138" s="233"/>
      <c r="G138" s="50"/>
    </row>
    <row r="139" spans="1:7" s="51" customFormat="1">
      <c r="A139" s="52"/>
      <c r="B139" s="53"/>
      <c r="C139" s="152" t="str">
        <f t="shared" si="11"/>
        <v/>
      </c>
      <c r="D139" s="54"/>
      <c r="E139" s="232"/>
      <c r="F139" s="233"/>
      <c r="G139" s="50"/>
    </row>
    <row r="140" spans="1:7" s="51" customFormat="1">
      <c r="A140" s="53"/>
      <c r="B140" s="53"/>
      <c r="C140" s="153" t="str">
        <f t="shared" si="11"/>
        <v/>
      </c>
      <c r="D140" s="54"/>
      <c r="E140" s="232"/>
      <c r="F140" s="233"/>
      <c r="G140" s="50"/>
    </row>
    <row r="141" spans="1:7" s="51" customFormat="1">
      <c r="A141" s="53"/>
      <c r="B141" s="53"/>
      <c r="C141" s="153" t="str">
        <f t="shared" si="11"/>
        <v/>
      </c>
      <c r="D141" s="54"/>
      <c r="E141" s="232"/>
      <c r="F141" s="233"/>
      <c r="G141" s="50"/>
    </row>
    <row r="142" spans="1:7" s="51" customFormat="1">
      <c r="A142" s="53"/>
      <c r="B142" s="53"/>
      <c r="C142" s="153" t="str">
        <f t="shared" si="11"/>
        <v/>
      </c>
      <c r="D142" s="54"/>
      <c r="E142" s="232"/>
      <c r="F142" s="233"/>
      <c r="G142" s="50"/>
    </row>
    <row r="143" spans="1:7" s="51" customFormat="1" ht="15" thickBot="1">
      <c r="A143" s="55"/>
      <c r="B143" s="55"/>
      <c r="C143" s="154" t="str">
        <f t="shared" si="11"/>
        <v/>
      </c>
      <c r="D143" s="56"/>
      <c r="E143" s="234"/>
      <c r="F143" s="235"/>
      <c r="G143" s="50"/>
    </row>
    <row r="144" spans="1:7" s="51" customFormat="1" ht="15" thickBot="1">
      <c r="A144" s="110" t="s">
        <v>27</v>
      </c>
      <c r="B144" s="83">
        <f>SUM(B136:B143)</f>
        <v>36</v>
      </c>
      <c r="C144" s="110" t="str">
        <f xml:space="preserve"> setValueToTime(B144)</f>
        <v>3h</v>
      </c>
      <c r="D144" s="119"/>
      <c r="E144" s="236"/>
      <c r="F144" s="237"/>
      <c r="G144" s="50"/>
    </row>
    <row r="145" spans="1:7" s="58" customFormat="1" ht="15" thickBot="1">
      <c r="A145" s="78"/>
      <c r="B145" s="78"/>
      <c r="C145" s="78"/>
      <c r="D145" s="78"/>
      <c r="E145" s="78"/>
      <c r="F145" s="78"/>
      <c r="G145" s="57"/>
    </row>
    <row r="146" spans="1:7" s="46" customFormat="1" ht="30" customHeight="1" thickBot="1">
      <c r="A146" s="80" t="s">
        <v>11</v>
      </c>
      <c r="B146" s="162">
        <v>8</v>
      </c>
      <c r="C146" s="162"/>
      <c r="D146" s="81" t="s">
        <v>14</v>
      </c>
      <c r="E146" s="93">
        <v>44230</v>
      </c>
      <c r="F146" s="125" t="s">
        <v>74</v>
      </c>
      <c r="G146" s="45"/>
    </row>
    <row r="147" spans="1:7" s="46" customFormat="1" ht="30" customHeight="1" thickBot="1">
      <c r="A147" s="79" t="s">
        <v>4</v>
      </c>
      <c r="B147" s="149" t="s">
        <v>38</v>
      </c>
      <c r="C147" s="150"/>
      <c r="D147" s="79" t="s">
        <v>12</v>
      </c>
      <c r="E147" s="238" t="s">
        <v>13</v>
      </c>
      <c r="F147" s="239"/>
      <c r="G147" s="45"/>
    </row>
    <row r="148" spans="1:7" s="51" customFormat="1">
      <c r="A148" s="47" t="s">
        <v>56</v>
      </c>
      <c r="B148" s="48">
        <v>3</v>
      </c>
      <c r="C148" s="151"/>
      <c r="D148" s="165" t="s">
        <v>112</v>
      </c>
      <c r="E148" s="240"/>
      <c r="F148" s="241"/>
      <c r="G148" s="50"/>
    </row>
    <row r="149" spans="1:7" s="51" customFormat="1">
      <c r="A149" s="52" t="s">
        <v>60</v>
      </c>
      <c r="B149" s="53">
        <v>42</v>
      </c>
      <c r="C149" s="152"/>
      <c r="D149" s="166" t="s">
        <v>115</v>
      </c>
      <c r="E149" s="232"/>
      <c r="F149" s="233"/>
      <c r="G149" s="50"/>
    </row>
    <row r="150" spans="1:7" s="51" customFormat="1">
      <c r="A150" s="52"/>
      <c r="B150" s="53"/>
      <c r="C150" s="152" t="str">
        <f t="shared" ref="C150:C155" si="12" xml:space="preserve"> IF(B150="","",setValueToTime(B150))</f>
        <v/>
      </c>
      <c r="D150" s="54"/>
      <c r="E150" s="232"/>
      <c r="F150" s="233"/>
      <c r="G150" s="50"/>
    </row>
    <row r="151" spans="1:7" s="51" customFormat="1">
      <c r="A151" s="52"/>
      <c r="B151" s="53"/>
      <c r="C151" s="152" t="str">
        <f t="shared" si="12"/>
        <v/>
      </c>
      <c r="D151" s="54"/>
      <c r="E151" s="232"/>
      <c r="F151" s="233"/>
      <c r="G151" s="50"/>
    </row>
    <row r="152" spans="1:7" s="51" customFormat="1">
      <c r="A152" s="53"/>
      <c r="B152" s="53"/>
      <c r="C152" s="153" t="str">
        <f t="shared" si="12"/>
        <v/>
      </c>
      <c r="D152" s="54"/>
      <c r="E152" s="232"/>
      <c r="F152" s="233"/>
      <c r="G152" s="50"/>
    </row>
    <row r="153" spans="1:7" s="51" customFormat="1">
      <c r="A153" s="53"/>
      <c r="B153" s="53"/>
      <c r="C153" s="153" t="str">
        <f t="shared" si="12"/>
        <v/>
      </c>
      <c r="D153" s="54"/>
      <c r="E153" s="232"/>
      <c r="F153" s="233"/>
      <c r="G153" s="50"/>
    </row>
    <row r="154" spans="1:7" s="51" customFormat="1">
      <c r="A154" s="53"/>
      <c r="B154" s="53"/>
      <c r="C154" s="153" t="str">
        <f t="shared" si="12"/>
        <v/>
      </c>
      <c r="D154" s="54"/>
      <c r="E154" s="232"/>
      <c r="F154" s="233"/>
      <c r="G154" s="50"/>
    </row>
    <row r="155" spans="1:7" s="51" customFormat="1" ht="15" thickBot="1">
      <c r="A155" s="55"/>
      <c r="B155" s="55"/>
      <c r="C155" s="154" t="str">
        <f t="shared" si="12"/>
        <v/>
      </c>
      <c r="D155" s="56"/>
      <c r="E155" s="234"/>
      <c r="F155" s="235"/>
      <c r="G155" s="50"/>
    </row>
    <row r="156" spans="1:7" s="51" customFormat="1" ht="15" thickBot="1">
      <c r="A156" s="110" t="s">
        <v>27</v>
      </c>
      <c r="B156" s="83">
        <f>SUM(B148:B155)</f>
        <v>45</v>
      </c>
      <c r="C156" s="110" t="str">
        <f xml:space="preserve"> setValueToTime(B156)</f>
        <v>3h45min</v>
      </c>
      <c r="D156" s="119"/>
      <c r="E156" s="236"/>
      <c r="F156" s="237"/>
      <c r="G156" s="50"/>
    </row>
    <row r="157" spans="1:7" s="58" customFormat="1" ht="15" thickBot="1">
      <c r="A157" s="78"/>
      <c r="B157" s="78"/>
      <c r="C157" s="78"/>
      <c r="D157" s="78"/>
      <c r="E157" s="78"/>
      <c r="F157" s="78"/>
      <c r="G157" s="57"/>
    </row>
    <row r="158" spans="1:7" s="46" customFormat="1" ht="30" customHeight="1" thickBot="1">
      <c r="A158" s="80" t="s">
        <v>11</v>
      </c>
      <c r="B158" s="162">
        <v>7</v>
      </c>
      <c r="C158" s="162"/>
      <c r="D158" s="81" t="s">
        <v>14</v>
      </c>
      <c r="E158" s="93">
        <v>44228</v>
      </c>
      <c r="F158" s="125" t="s">
        <v>74</v>
      </c>
      <c r="G158" s="45"/>
    </row>
    <row r="159" spans="1:7" s="46" customFormat="1" ht="30" customHeight="1" thickBot="1">
      <c r="A159" s="79" t="s">
        <v>4</v>
      </c>
      <c r="B159" s="149" t="s">
        <v>38</v>
      </c>
      <c r="C159" s="150"/>
      <c r="D159" s="79" t="s">
        <v>12</v>
      </c>
      <c r="E159" s="238" t="s">
        <v>13</v>
      </c>
      <c r="F159" s="239"/>
      <c r="G159" s="45"/>
    </row>
    <row r="160" spans="1:7" s="51" customFormat="1">
      <c r="A160" s="47" t="s">
        <v>56</v>
      </c>
      <c r="B160" s="48">
        <v>3</v>
      </c>
      <c r="C160" s="151" t="str">
        <f xml:space="preserve"> IF(B160="","",setValueToTime(B160))</f>
        <v>0h15min</v>
      </c>
      <c r="D160" s="165" t="s">
        <v>112</v>
      </c>
      <c r="E160" s="240"/>
      <c r="F160" s="241"/>
      <c r="G160" s="50"/>
    </row>
    <row r="161" spans="1:7" s="51" customFormat="1">
      <c r="A161" s="52" t="s">
        <v>60</v>
      </c>
      <c r="B161" s="53">
        <v>33</v>
      </c>
      <c r="C161" s="152" t="str">
        <f t="shared" ref="C161:C167" si="13" xml:space="preserve"> IF(B161="","",setValueToTime(B161))</f>
        <v>2h45min</v>
      </c>
      <c r="D161" s="166" t="s">
        <v>113</v>
      </c>
      <c r="E161" s="232"/>
      <c r="F161" s="233"/>
      <c r="G161" s="50"/>
    </row>
    <row r="162" spans="1:7" s="51" customFormat="1">
      <c r="A162" s="52"/>
      <c r="B162" s="53"/>
      <c r="C162" s="152" t="str">
        <f t="shared" si="13"/>
        <v/>
      </c>
      <c r="D162" s="54"/>
      <c r="E162" s="232"/>
      <c r="F162" s="233"/>
      <c r="G162" s="50"/>
    </row>
    <row r="163" spans="1:7" s="51" customFormat="1">
      <c r="A163" s="52"/>
      <c r="B163" s="53"/>
      <c r="C163" s="152" t="str">
        <f t="shared" si="13"/>
        <v/>
      </c>
      <c r="D163" s="54"/>
      <c r="E163" s="232"/>
      <c r="F163" s="233"/>
      <c r="G163" s="50"/>
    </row>
    <row r="164" spans="1:7" s="51" customFormat="1">
      <c r="A164" s="53"/>
      <c r="B164" s="53"/>
      <c r="C164" s="153" t="str">
        <f t="shared" si="13"/>
        <v/>
      </c>
      <c r="D164" s="54"/>
      <c r="E164" s="232"/>
      <c r="F164" s="233"/>
      <c r="G164" s="50"/>
    </row>
    <row r="165" spans="1:7" s="51" customFormat="1">
      <c r="A165" s="53"/>
      <c r="B165" s="53"/>
      <c r="C165" s="153" t="str">
        <f t="shared" si="13"/>
        <v/>
      </c>
      <c r="D165" s="54"/>
      <c r="E165" s="232"/>
      <c r="F165" s="233"/>
      <c r="G165" s="50"/>
    </row>
    <row r="166" spans="1:7" s="51" customFormat="1">
      <c r="A166" s="53"/>
      <c r="B166" s="53"/>
      <c r="C166" s="153" t="str">
        <f t="shared" si="13"/>
        <v/>
      </c>
      <c r="D166" s="54"/>
      <c r="E166" s="232"/>
      <c r="F166" s="233"/>
      <c r="G166" s="50"/>
    </row>
    <row r="167" spans="1:7" s="51" customFormat="1" ht="15" thickBot="1">
      <c r="A167" s="55"/>
      <c r="B167" s="55"/>
      <c r="C167" s="154" t="str">
        <f t="shared" si="13"/>
        <v/>
      </c>
      <c r="D167" s="56"/>
      <c r="E167" s="234"/>
      <c r="F167" s="235"/>
      <c r="G167" s="50"/>
    </row>
    <row r="168" spans="1:7" s="51" customFormat="1" ht="15" thickBot="1">
      <c r="A168" s="110" t="s">
        <v>27</v>
      </c>
      <c r="B168" s="83">
        <f>SUM(B160:B167)</f>
        <v>36</v>
      </c>
      <c r="C168" s="110" t="str">
        <f xml:space="preserve"> setValueToTime(B168)</f>
        <v>3h</v>
      </c>
      <c r="D168" s="119"/>
      <c r="E168" s="236"/>
      <c r="F168" s="237"/>
      <c r="G168" s="50"/>
    </row>
    <row r="169" spans="1:7" s="58" customFormat="1" ht="15" thickBot="1">
      <c r="A169" s="78"/>
      <c r="B169" s="78"/>
      <c r="C169" s="78"/>
      <c r="D169" s="78"/>
      <c r="E169" s="78"/>
      <c r="F169" s="78"/>
      <c r="G169" s="57"/>
    </row>
    <row r="170" spans="1:7" s="46" customFormat="1" ht="30" customHeight="1" thickBot="1">
      <c r="A170" s="80" t="s">
        <v>11</v>
      </c>
      <c r="B170" s="162">
        <v>6</v>
      </c>
      <c r="C170" s="162"/>
      <c r="D170" s="81" t="s">
        <v>14</v>
      </c>
      <c r="E170" s="93">
        <v>44225</v>
      </c>
      <c r="F170" s="125" t="s">
        <v>91</v>
      </c>
      <c r="G170" s="45"/>
    </row>
    <row r="171" spans="1:7" s="46" customFormat="1" ht="30" customHeight="1" thickBot="1">
      <c r="A171" s="79" t="s">
        <v>4</v>
      </c>
      <c r="B171" s="149" t="s">
        <v>38</v>
      </c>
      <c r="C171" s="150"/>
      <c r="D171" s="79" t="s">
        <v>12</v>
      </c>
      <c r="E171" s="238" t="s">
        <v>13</v>
      </c>
      <c r="F171" s="239"/>
      <c r="G171" s="45"/>
    </row>
    <row r="172" spans="1:7" s="51" customFormat="1">
      <c r="A172" s="47" t="s">
        <v>58</v>
      </c>
      <c r="B172" s="48">
        <v>33</v>
      </c>
      <c r="C172" s="151" t="str">
        <f xml:space="preserve"> IF(B172="","",setValueToTime(B172))</f>
        <v>2h45min</v>
      </c>
      <c r="D172" s="165" t="s">
        <v>96</v>
      </c>
      <c r="E172" s="240"/>
      <c r="F172" s="241"/>
      <c r="G172" s="50"/>
    </row>
    <row r="173" spans="1:7" s="51" customFormat="1">
      <c r="A173" s="52" t="s">
        <v>15</v>
      </c>
      <c r="B173" s="53">
        <v>3</v>
      </c>
      <c r="C173" s="152" t="str">
        <f t="shared" ref="C173:C179" si="14" xml:space="preserve"> IF(B173="","",setValueToTime(B173))</f>
        <v>0h15min</v>
      </c>
      <c r="D173" s="166" t="s">
        <v>94</v>
      </c>
      <c r="E173" s="232"/>
      <c r="F173" s="233"/>
      <c r="G173" s="50"/>
    </row>
    <row r="174" spans="1:7" s="51" customFormat="1">
      <c r="A174" s="52"/>
      <c r="B174" s="53"/>
      <c r="C174" s="152" t="str">
        <f t="shared" si="14"/>
        <v/>
      </c>
      <c r="D174" s="54"/>
      <c r="E174" s="232"/>
      <c r="F174" s="233"/>
      <c r="G174" s="50"/>
    </row>
    <row r="175" spans="1:7" s="51" customFormat="1">
      <c r="A175" s="52"/>
      <c r="B175" s="53"/>
      <c r="C175" s="152" t="str">
        <f t="shared" si="14"/>
        <v/>
      </c>
      <c r="D175" s="54"/>
      <c r="E175" s="232"/>
      <c r="F175" s="233"/>
      <c r="G175" s="50"/>
    </row>
    <row r="176" spans="1:7" s="51" customFormat="1">
      <c r="A176" s="53"/>
      <c r="B176" s="53"/>
      <c r="C176" s="153" t="str">
        <f t="shared" si="14"/>
        <v/>
      </c>
      <c r="D176" s="54"/>
      <c r="E176" s="232"/>
      <c r="F176" s="233"/>
      <c r="G176" s="50"/>
    </row>
    <row r="177" spans="1:7" s="51" customFormat="1">
      <c r="A177" s="53"/>
      <c r="B177" s="53"/>
      <c r="C177" s="153" t="str">
        <f t="shared" si="14"/>
        <v/>
      </c>
      <c r="D177" s="54"/>
      <c r="E177" s="232"/>
      <c r="F177" s="233"/>
      <c r="G177" s="50"/>
    </row>
    <row r="178" spans="1:7" s="51" customFormat="1">
      <c r="A178" s="53"/>
      <c r="B178" s="53"/>
      <c r="C178" s="153" t="str">
        <f t="shared" si="14"/>
        <v/>
      </c>
      <c r="D178" s="54"/>
      <c r="E178" s="232"/>
      <c r="F178" s="233"/>
      <c r="G178" s="50"/>
    </row>
    <row r="179" spans="1:7" s="51" customFormat="1" ht="15" thickBot="1">
      <c r="A179" s="55"/>
      <c r="B179" s="55"/>
      <c r="C179" s="154" t="str">
        <f t="shared" si="14"/>
        <v/>
      </c>
      <c r="D179" s="56"/>
      <c r="E179" s="234"/>
      <c r="F179" s="235"/>
      <c r="G179" s="50"/>
    </row>
    <row r="180" spans="1:7" s="51" customFormat="1" ht="15" thickBot="1">
      <c r="A180" s="110" t="s">
        <v>27</v>
      </c>
      <c r="B180" s="83">
        <f>SUM(B172:B179)</f>
        <v>36</v>
      </c>
      <c r="C180" s="110" t="str">
        <f xml:space="preserve"> setValueToTime(B180)</f>
        <v>3h</v>
      </c>
      <c r="D180" s="119"/>
      <c r="E180" s="236"/>
      <c r="F180" s="237"/>
      <c r="G180" s="50"/>
    </row>
    <row r="181" spans="1:7" s="58" customFormat="1" ht="15" thickBot="1">
      <c r="A181" s="78"/>
      <c r="B181" s="78"/>
      <c r="C181" s="78"/>
      <c r="D181" s="78"/>
      <c r="E181" s="78"/>
      <c r="F181" s="78"/>
      <c r="G181" s="57"/>
    </row>
    <row r="182" spans="1:7" s="46" customFormat="1" ht="30" customHeight="1" thickBot="1">
      <c r="A182" s="80" t="s">
        <v>11</v>
      </c>
      <c r="B182" s="162">
        <v>5</v>
      </c>
      <c r="C182" s="162"/>
      <c r="D182" s="81" t="s">
        <v>14</v>
      </c>
      <c r="E182" s="93">
        <v>44225</v>
      </c>
      <c r="F182" s="125" t="s">
        <v>86</v>
      </c>
      <c r="G182" s="45"/>
    </row>
    <row r="183" spans="1:7" s="46" customFormat="1" ht="30" customHeight="1" thickBot="1">
      <c r="A183" s="79" t="s">
        <v>4</v>
      </c>
      <c r="B183" s="149" t="s">
        <v>38</v>
      </c>
      <c r="C183" s="150"/>
      <c r="D183" s="79" t="s">
        <v>12</v>
      </c>
      <c r="E183" s="238" t="s">
        <v>13</v>
      </c>
      <c r="F183" s="239"/>
      <c r="G183" s="45"/>
    </row>
    <row r="184" spans="1:7" s="51" customFormat="1">
      <c r="A184" s="47" t="s">
        <v>58</v>
      </c>
      <c r="B184" s="48">
        <v>36</v>
      </c>
      <c r="C184" s="151" t="str">
        <f xml:space="preserve"> IF(B184="","",setValueToTime(B184))</f>
        <v>3h</v>
      </c>
      <c r="D184" s="165" t="s">
        <v>95</v>
      </c>
      <c r="E184" s="240"/>
      <c r="F184" s="241"/>
      <c r="G184" s="50"/>
    </row>
    <row r="185" spans="1:7" s="51" customFormat="1">
      <c r="A185" s="52"/>
      <c r="B185" s="53"/>
      <c r="C185" s="152" t="str">
        <f t="shared" ref="C185:C191" si="15" xml:space="preserve"> IF(B185="","",setValueToTime(B185))</f>
        <v/>
      </c>
      <c r="D185" s="54"/>
      <c r="E185" s="232"/>
      <c r="F185" s="233"/>
      <c r="G185" s="50"/>
    </row>
    <row r="186" spans="1:7" s="51" customFormat="1">
      <c r="A186" s="52"/>
      <c r="B186" s="53"/>
      <c r="C186" s="152" t="str">
        <f t="shared" si="15"/>
        <v/>
      </c>
      <c r="D186" s="54"/>
      <c r="E186" s="232"/>
      <c r="F186" s="233"/>
      <c r="G186" s="50"/>
    </row>
    <row r="187" spans="1:7" s="51" customFormat="1">
      <c r="A187" s="52"/>
      <c r="B187" s="53"/>
      <c r="C187" s="152" t="str">
        <f t="shared" si="15"/>
        <v/>
      </c>
      <c r="D187" s="54"/>
      <c r="E187" s="232"/>
      <c r="F187" s="233"/>
      <c r="G187" s="50"/>
    </row>
    <row r="188" spans="1:7" s="51" customFormat="1">
      <c r="A188" s="53"/>
      <c r="B188" s="53"/>
      <c r="C188" s="153" t="str">
        <f t="shared" si="15"/>
        <v/>
      </c>
      <c r="D188" s="54"/>
      <c r="E188" s="232"/>
      <c r="F188" s="233"/>
      <c r="G188" s="50"/>
    </row>
    <row r="189" spans="1:7" s="51" customFormat="1">
      <c r="A189" s="53"/>
      <c r="B189" s="53"/>
      <c r="C189" s="153" t="str">
        <f t="shared" si="15"/>
        <v/>
      </c>
      <c r="D189" s="54"/>
      <c r="E189" s="232"/>
      <c r="F189" s="233"/>
      <c r="G189" s="50"/>
    </row>
    <row r="190" spans="1:7" s="51" customFormat="1">
      <c r="A190" s="53"/>
      <c r="B190" s="53"/>
      <c r="C190" s="153" t="str">
        <f t="shared" si="15"/>
        <v/>
      </c>
      <c r="D190" s="54"/>
      <c r="E190" s="232"/>
      <c r="F190" s="233"/>
      <c r="G190" s="50"/>
    </row>
    <row r="191" spans="1:7" s="51" customFormat="1" ht="15" thickBot="1">
      <c r="A191" s="55"/>
      <c r="B191" s="55"/>
      <c r="C191" s="154" t="str">
        <f t="shared" si="15"/>
        <v/>
      </c>
      <c r="D191" s="56"/>
      <c r="E191" s="234"/>
      <c r="F191" s="235"/>
      <c r="G191" s="50"/>
    </row>
    <row r="192" spans="1:7" s="51" customFormat="1" ht="15" thickBot="1">
      <c r="A192" s="110" t="s">
        <v>27</v>
      </c>
      <c r="B192" s="83">
        <f>SUM(B184:B191)</f>
        <v>36</v>
      </c>
      <c r="C192" s="110" t="str">
        <f xml:space="preserve"> setValueToTime(B192)</f>
        <v>3h</v>
      </c>
      <c r="D192" s="119"/>
      <c r="E192" s="236"/>
      <c r="F192" s="237"/>
      <c r="G192" s="50"/>
    </row>
    <row r="193" spans="1:7" s="58" customFormat="1" ht="15" thickBot="1">
      <c r="A193" s="78"/>
      <c r="B193" s="78"/>
      <c r="C193" s="78"/>
      <c r="D193" s="78"/>
      <c r="E193" s="78"/>
      <c r="F193" s="78"/>
      <c r="G193" s="57"/>
    </row>
    <row r="194" spans="1:7" s="46" customFormat="1" ht="30" customHeight="1" thickBot="1">
      <c r="A194" s="80" t="s">
        <v>11</v>
      </c>
      <c r="B194" s="162">
        <v>4</v>
      </c>
      <c r="C194" s="162"/>
      <c r="D194" s="81" t="s">
        <v>14</v>
      </c>
      <c r="E194" s="93">
        <v>44224</v>
      </c>
      <c r="F194" s="125" t="s">
        <v>91</v>
      </c>
      <c r="G194" s="45"/>
    </row>
    <row r="195" spans="1:7" s="46" customFormat="1" ht="30" customHeight="1" thickBot="1">
      <c r="A195" s="79" t="s">
        <v>4</v>
      </c>
      <c r="B195" s="149" t="s">
        <v>38</v>
      </c>
      <c r="C195" s="150"/>
      <c r="D195" s="79" t="s">
        <v>12</v>
      </c>
      <c r="E195" s="238" t="s">
        <v>13</v>
      </c>
      <c r="F195" s="239"/>
      <c r="G195" s="45"/>
    </row>
    <row r="196" spans="1:7" s="51" customFormat="1">
      <c r="A196" s="47" t="s">
        <v>50</v>
      </c>
      <c r="B196" s="48">
        <v>18</v>
      </c>
      <c r="C196" s="151" t="str">
        <f xml:space="preserve"> IF(B196="","",setValueToTime(B196))</f>
        <v>1h30min</v>
      </c>
      <c r="D196" s="165" t="s">
        <v>92</v>
      </c>
      <c r="E196" s="240"/>
      <c r="F196" s="241"/>
      <c r="G196" s="50"/>
    </row>
    <row r="197" spans="1:7" s="51" customFormat="1">
      <c r="A197" s="52" t="s">
        <v>58</v>
      </c>
      <c r="B197" s="53">
        <v>15</v>
      </c>
      <c r="C197" s="152" t="str">
        <f t="shared" ref="C197:C203" si="16" xml:space="preserve"> IF(B197="","",setValueToTime(B197))</f>
        <v>1h15min</v>
      </c>
      <c r="D197" s="166" t="s">
        <v>93</v>
      </c>
      <c r="E197" s="232"/>
      <c r="F197" s="233"/>
      <c r="G197" s="50"/>
    </row>
    <row r="198" spans="1:7" s="51" customFormat="1">
      <c r="A198" s="52" t="s">
        <v>15</v>
      </c>
      <c r="B198" s="53">
        <v>3</v>
      </c>
      <c r="C198" s="152" t="str">
        <f t="shared" si="16"/>
        <v>0h15min</v>
      </c>
      <c r="D198" s="166" t="s">
        <v>94</v>
      </c>
      <c r="E198" s="232"/>
      <c r="F198" s="233"/>
      <c r="G198" s="50"/>
    </row>
    <row r="199" spans="1:7" s="51" customFormat="1">
      <c r="A199" s="52"/>
      <c r="B199" s="53"/>
      <c r="C199" s="152" t="str">
        <f t="shared" si="16"/>
        <v/>
      </c>
      <c r="D199" s="54"/>
      <c r="E199" s="232"/>
      <c r="F199" s="233"/>
      <c r="G199" s="50"/>
    </row>
    <row r="200" spans="1:7" s="51" customFormat="1">
      <c r="A200" s="53"/>
      <c r="B200" s="53"/>
      <c r="C200" s="153" t="str">
        <f t="shared" si="16"/>
        <v/>
      </c>
      <c r="D200" s="54"/>
      <c r="E200" s="232"/>
      <c r="F200" s="233"/>
      <c r="G200" s="50"/>
    </row>
    <row r="201" spans="1:7" s="51" customFormat="1">
      <c r="A201" s="53"/>
      <c r="B201" s="53"/>
      <c r="C201" s="153" t="str">
        <f t="shared" si="16"/>
        <v/>
      </c>
      <c r="D201" s="54"/>
      <c r="E201" s="232"/>
      <c r="F201" s="233"/>
      <c r="G201" s="50"/>
    </row>
    <row r="202" spans="1:7" s="51" customFormat="1">
      <c r="A202" s="53"/>
      <c r="B202" s="53"/>
      <c r="C202" s="153" t="str">
        <f t="shared" si="16"/>
        <v/>
      </c>
      <c r="D202" s="54"/>
      <c r="E202" s="232"/>
      <c r="F202" s="233"/>
      <c r="G202" s="50"/>
    </row>
    <row r="203" spans="1:7" s="51" customFormat="1" ht="15" thickBot="1">
      <c r="A203" s="55"/>
      <c r="B203" s="55"/>
      <c r="C203" s="154" t="str">
        <f t="shared" si="16"/>
        <v/>
      </c>
      <c r="D203" s="56"/>
      <c r="E203" s="234"/>
      <c r="F203" s="235"/>
      <c r="G203" s="50"/>
    </row>
    <row r="204" spans="1:7" s="51" customFormat="1" ht="15" thickBot="1">
      <c r="A204" s="110" t="s">
        <v>27</v>
      </c>
      <c r="B204" s="83">
        <f>SUM(B196:B203)</f>
        <v>36</v>
      </c>
      <c r="C204" s="110" t="str">
        <f xml:space="preserve"> setValueToTime(B204)</f>
        <v>3h</v>
      </c>
      <c r="D204" s="119"/>
      <c r="E204" s="236"/>
      <c r="F204" s="237"/>
      <c r="G204" s="50"/>
    </row>
    <row r="205" spans="1:7" s="58" customFormat="1" ht="15" thickBot="1">
      <c r="A205" s="78"/>
      <c r="B205" s="78"/>
      <c r="C205" s="78"/>
      <c r="D205" s="78"/>
      <c r="E205" s="78"/>
      <c r="F205" s="78"/>
      <c r="G205" s="57"/>
    </row>
    <row r="206" spans="1:7" s="46" customFormat="1" ht="30" customHeight="1" thickBot="1">
      <c r="A206" s="80" t="s">
        <v>11</v>
      </c>
      <c r="B206" s="162">
        <v>3</v>
      </c>
      <c r="C206" s="162"/>
      <c r="D206" s="81" t="s">
        <v>14</v>
      </c>
      <c r="E206" s="93">
        <v>44224</v>
      </c>
      <c r="F206" s="125" t="s">
        <v>86</v>
      </c>
      <c r="G206" s="45"/>
    </row>
    <row r="207" spans="1:7" s="46" customFormat="1" ht="30" customHeight="1" thickBot="1">
      <c r="A207" s="79" t="s">
        <v>4</v>
      </c>
      <c r="B207" s="149" t="s">
        <v>38</v>
      </c>
      <c r="C207" s="150"/>
      <c r="D207" s="79" t="s">
        <v>12</v>
      </c>
      <c r="E207" s="238" t="s">
        <v>13</v>
      </c>
      <c r="F207" s="239"/>
      <c r="G207" s="45"/>
    </row>
    <row r="208" spans="1:7" s="51" customFormat="1">
      <c r="A208" s="47" t="s">
        <v>15</v>
      </c>
      <c r="B208" s="48">
        <v>12</v>
      </c>
      <c r="C208" s="151" t="str">
        <f xml:space="preserve"> IF(B208="","",setValueToTime(B208))</f>
        <v>1h</v>
      </c>
      <c r="D208" s="165" t="s">
        <v>87</v>
      </c>
      <c r="E208" s="240"/>
      <c r="F208" s="241"/>
      <c r="G208" s="50"/>
    </row>
    <row r="209" spans="1:7" s="51" customFormat="1">
      <c r="A209" s="52" t="s">
        <v>50</v>
      </c>
      <c r="B209" s="53">
        <v>18</v>
      </c>
      <c r="C209" s="152" t="str">
        <f t="shared" ref="C209:C215" si="17" xml:space="preserve"> IF(B209="","",setValueToTime(B209))</f>
        <v>1h30min</v>
      </c>
      <c r="D209" s="166" t="s">
        <v>88</v>
      </c>
      <c r="E209" s="232"/>
      <c r="F209" s="233"/>
      <c r="G209" s="50"/>
    </row>
    <row r="210" spans="1:7" s="51" customFormat="1">
      <c r="A210" s="52" t="s">
        <v>52</v>
      </c>
      <c r="B210" s="53">
        <v>12</v>
      </c>
      <c r="C210" s="152" t="str">
        <f t="shared" si="17"/>
        <v>1h</v>
      </c>
      <c r="D210" s="166" t="s">
        <v>89</v>
      </c>
      <c r="E210" s="232"/>
      <c r="F210" s="233"/>
      <c r="G210" s="50"/>
    </row>
    <row r="211" spans="1:7" s="51" customFormat="1">
      <c r="A211" s="52" t="s">
        <v>15</v>
      </c>
      <c r="B211" s="53">
        <v>3</v>
      </c>
      <c r="C211" s="152" t="str">
        <f t="shared" si="17"/>
        <v>0h15min</v>
      </c>
      <c r="D211" s="166" t="s">
        <v>90</v>
      </c>
      <c r="E211" s="232"/>
      <c r="F211" s="233"/>
      <c r="G211" s="50"/>
    </row>
    <row r="212" spans="1:7" s="51" customFormat="1">
      <c r="A212" s="53"/>
      <c r="B212" s="53"/>
      <c r="C212" s="153" t="str">
        <f t="shared" si="17"/>
        <v/>
      </c>
      <c r="D212" s="54"/>
      <c r="E212" s="232"/>
      <c r="F212" s="233"/>
      <c r="G212" s="50"/>
    </row>
    <row r="213" spans="1:7" s="51" customFormat="1">
      <c r="A213" s="53"/>
      <c r="B213" s="53"/>
      <c r="C213" s="153" t="str">
        <f t="shared" si="17"/>
        <v/>
      </c>
      <c r="D213" s="54"/>
      <c r="E213" s="232"/>
      <c r="F213" s="233"/>
      <c r="G213" s="50"/>
    </row>
    <row r="214" spans="1:7" s="51" customFormat="1">
      <c r="A214" s="53"/>
      <c r="B214" s="53"/>
      <c r="C214" s="153" t="str">
        <f t="shared" si="17"/>
        <v/>
      </c>
      <c r="D214" s="54"/>
      <c r="E214" s="232"/>
      <c r="F214" s="233"/>
      <c r="G214" s="50"/>
    </row>
    <row r="215" spans="1:7" s="51" customFormat="1" ht="15" thickBot="1">
      <c r="A215" s="55"/>
      <c r="B215" s="55"/>
      <c r="C215" s="154" t="str">
        <f t="shared" si="17"/>
        <v/>
      </c>
      <c r="D215" s="56"/>
      <c r="E215" s="234"/>
      <c r="F215" s="235"/>
      <c r="G215" s="50"/>
    </row>
    <row r="216" spans="1:7" s="51" customFormat="1" ht="15" thickBot="1">
      <c r="A216" s="110" t="s">
        <v>27</v>
      </c>
      <c r="B216" s="83">
        <f>SUM(B208:B215)</f>
        <v>45</v>
      </c>
      <c r="C216" s="110" t="str">
        <f xml:space="preserve"> setValueToTime(B216)</f>
        <v>3h45min</v>
      </c>
      <c r="D216" s="119"/>
      <c r="E216" s="236"/>
      <c r="F216" s="237"/>
      <c r="G216" s="50"/>
    </row>
    <row r="217" spans="1:7" s="58" customFormat="1" ht="15" thickBot="1">
      <c r="A217" s="78"/>
      <c r="B217" s="78"/>
      <c r="C217" s="78"/>
      <c r="D217" s="78"/>
      <c r="E217" s="78"/>
      <c r="F217" s="78"/>
      <c r="G217" s="57"/>
    </row>
    <row r="218" spans="1:7" s="46" customFormat="1" ht="30" customHeight="1" thickBot="1">
      <c r="A218" s="80" t="s">
        <v>11</v>
      </c>
      <c r="B218" s="162">
        <v>2</v>
      </c>
      <c r="C218" s="162"/>
      <c r="D218" s="81" t="s">
        <v>14</v>
      </c>
      <c r="E218" s="93">
        <v>44223</v>
      </c>
      <c r="F218" s="125" t="s">
        <v>75</v>
      </c>
      <c r="G218" s="45"/>
    </row>
    <row r="219" spans="1:7" s="46" customFormat="1" ht="30" customHeight="1" thickBot="1">
      <c r="A219" s="79" t="s">
        <v>4</v>
      </c>
      <c r="B219" s="149" t="s">
        <v>38</v>
      </c>
      <c r="C219" s="150"/>
      <c r="D219" s="79" t="s">
        <v>12</v>
      </c>
      <c r="E219" s="238" t="s">
        <v>13</v>
      </c>
      <c r="F219" s="239"/>
      <c r="G219" s="45"/>
    </row>
    <row r="220" spans="1:7" s="51" customFormat="1">
      <c r="A220" s="47" t="s">
        <v>58</v>
      </c>
      <c r="B220" s="48">
        <v>36</v>
      </c>
      <c r="C220" s="151"/>
      <c r="D220" s="165" t="s">
        <v>76</v>
      </c>
      <c r="E220" s="240"/>
      <c r="F220" s="241"/>
      <c r="G220" s="50"/>
    </row>
    <row r="221" spans="1:7" s="51" customFormat="1">
      <c r="A221" s="52" t="s">
        <v>57</v>
      </c>
      <c r="B221" s="53">
        <v>15</v>
      </c>
      <c r="C221" s="152"/>
      <c r="D221" s="166" t="s">
        <v>78</v>
      </c>
      <c r="E221" s="232"/>
      <c r="F221" s="233"/>
      <c r="G221" s="50"/>
    </row>
    <row r="222" spans="1:7" s="51" customFormat="1">
      <c r="A222" s="52"/>
      <c r="B222" s="53"/>
      <c r="C222" s="152" t="str">
        <f t="shared" ref="C222:C227" si="18" xml:space="preserve"> IF(B222="","",setValueToTime(B222))</f>
        <v/>
      </c>
      <c r="D222" s="54"/>
      <c r="E222" s="232"/>
      <c r="F222" s="233"/>
      <c r="G222" s="50"/>
    </row>
    <row r="223" spans="1:7" s="51" customFormat="1">
      <c r="A223" s="52"/>
      <c r="B223" s="53"/>
      <c r="C223" s="152" t="str">
        <f t="shared" si="18"/>
        <v/>
      </c>
      <c r="D223" s="54"/>
      <c r="E223" s="232"/>
      <c r="F223" s="233"/>
      <c r="G223" s="50"/>
    </row>
    <row r="224" spans="1:7" s="51" customFormat="1">
      <c r="A224" s="53"/>
      <c r="B224" s="53"/>
      <c r="C224" s="153" t="str">
        <f t="shared" si="18"/>
        <v/>
      </c>
      <c r="D224" s="54"/>
      <c r="E224" s="232"/>
      <c r="F224" s="233"/>
      <c r="G224" s="50"/>
    </row>
    <row r="225" spans="1:7" s="51" customFormat="1">
      <c r="A225" s="53"/>
      <c r="B225" s="53"/>
      <c r="C225" s="153" t="str">
        <f t="shared" si="18"/>
        <v/>
      </c>
      <c r="D225" s="54"/>
      <c r="E225" s="232"/>
      <c r="F225" s="233"/>
      <c r="G225" s="50"/>
    </row>
    <row r="226" spans="1:7" s="51" customFormat="1">
      <c r="A226" s="53"/>
      <c r="B226" s="53"/>
      <c r="C226" s="153" t="str">
        <f t="shared" si="18"/>
        <v/>
      </c>
      <c r="D226" s="54"/>
      <c r="E226" s="232"/>
      <c r="F226" s="233"/>
      <c r="G226" s="50"/>
    </row>
    <row r="227" spans="1:7" s="51" customFormat="1" ht="15" thickBot="1">
      <c r="A227" s="55"/>
      <c r="B227" s="55"/>
      <c r="C227" s="154" t="str">
        <f t="shared" si="18"/>
        <v/>
      </c>
      <c r="D227" s="56"/>
      <c r="E227" s="234"/>
      <c r="F227" s="235"/>
      <c r="G227" s="50"/>
    </row>
    <row r="228" spans="1:7" s="51" customFormat="1" ht="15" thickBot="1">
      <c r="A228" s="110" t="s">
        <v>27</v>
      </c>
      <c r="B228" s="83">
        <f>SUM(B220:B227)</f>
        <v>51</v>
      </c>
      <c r="C228" s="110" t="str">
        <f xml:space="preserve"> setValueToTime(B228)</f>
        <v>4h15min</v>
      </c>
      <c r="D228" s="119"/>
      <c r="E228" s="236"/>
      <c r="F228" s="237"/>
      <c r="G228" s="50"/>
    </row>
    <row r="229" spans="1:7" s="58" customFormat="1" ht="15" thickBot="1">
      <c r="A229" s="78"/>
      <c r="B229" s="78"/>
      <c r="C229" s="78"/>
      <c r="D229" s="78"/>
      <c r="E229" s="78"/>
      <c r="F229" s="78"/>
      <c r="G229" s="57"/>
    </row>
    <row r="230" spans="1:7" s="46" customFormat="1" ht="30" customHeight="1" thickBot="1">
      <c r="A230" s="80" t="s">
        <v>11</v>
      </c>
      <c r="B230" s="162">
        <v>1</v>
      </c>
      <c r="C230" s="162"/>
      <c r="D230" s="81" t="s">
        <v>14</v>
      </c>
      <c r="E230" s="93">
        <v>44223</v>
      </c>
      <c r="F230" s="125" t="s">
        <v>74</v>
      </c>
      <c r="G230" s="45"/>
    </row>
    <row r="231" spans="1:7" s="46" customFormat="1" ht="30" customHeight="1" thickBot="1">
      <c r="A231" s="79" t="s">
        <v>4</v>
      </c>
      <c r="B231" s="149" t="s">
        <v>38</v>
      </c>
      <c r="C231" s="150"/>
      <c r="D231" s="79" t="s">
        <v>12</v>
      </c>
      <c r="E231" s="238" t="s">
        <v>13</v>
      </c>
      <c r="F231" s="239"/>
      <c r="G231" s="45"/>
    </row>
    <row r="232" spans="1:7" s="51" customFormat="1">
      <c r="A232" s="47" t="s">
        <v>51</v>
      </c>
      <c r="B232" s="48">
        <v>12</v>
      </c>
      <c r="C232" s="152" t="str">
        <f xml:space="preserve"> IF(B232="","",setValueToTime(B232))</f>
        <v>1h</v>
      </c>
      <c r="D232" s="165" t="s">
        <v>68</v>
      </c>
      <c r="E232" s="240"/>
      <c r="F232" s="241"/>
      <c r="G232" s="50"/>
    </row>
    <row r="233" spans="1:7" s="51" customFormat="1">
      <c r="A233" s="52" t="s">
        <v>56</v>
      </c>
      <c r="B233" s="53">
        <v>9</v>
      </c>
      <c r="C233" s="152" t="str">
        <f xml:space="preserve"> IF(B233="","",setValueToTime(B233))</f>
        <v>0h45min</v>
      </c>
      <c r="D233" s="166" t="s">
        <v>70</v>
      </c>
      <c r="E233" s="232"/>
      <c r="F233" s="233"/>
      <c r="G233" s="50"/>
    </row>
    <row r="234" spans="1:7" s="51" customFormat="1" ht="27">
      <c r="A234" s="52" t="s">
        <v>64</v>
      </c>
      <c r="B234" s="53">
        <v>9</v>
      </c>
      <c r="C234" s="152" t="str">
        <f t="shared" ref="C234:C239" si="19" xml:space="preserve"> IF(B234="","",setValueToTime(B234))</f>
        <v>0h45min</v>
      </c>
      <c r="D234" s="166" t="s">
        <v>72</v>
      </c>
      <c r="E234" s="232"/>
      <c r="F234" s="233"/>
      <c r="G234" s="50"/>
    </row>
    <row r="235" spans="1:7" s="51" customFormat="1" ht="27">
      <c r="A235" s="52" t="s">
        <v>65</v>
      </c>
      <c r="B235" s="53">
        <v>9</v>
      </c>
      <c r="C235" s="152" t="str">
        <f t="shared" si="19"/>
        <v>0h45min</v>
      </c>
      <c r="D235" s="166" t="s">
        <v>73</v>
      </c>
      <c r="E235" s="232"/>
      <c r="F235" s="233"/>
      <c r="G235" s="50"/>
    </row>
    <row r="236" spans="1:7" s="51" customFormat="1">
      <c r="A236" s="53" t="s">
        <v>58</v>
      </c>
      <c r="B236" s="53">
        <v>12</v>
      </c>
      <c r="C236" s="153" t="str">
        <f t="shared" si="19"/>
        <v>1h</v>
      </c>
      <c r="D236" s="166" t="s">
        <v>77</v>
      </c>
      <c r="E236" s="232"/>
      <c r="F236" s="233"/>
      <c r="G236" s="50"/>
    </row>
    <row r="237" spans="1:7" s="51" customFormat="1">
      <c r="A237" s="53"/>
      <c r="B237" s="53"/>
      <c r="C237" s="153" t="str">
        <f t="shared" si="19"/>
        <v/>
      </c>
      <c r="D237" s="54"/>
      <c r="E237" s="232"/>
      <c r="F237" s="233"/>
      <c r="G237" s="50"/>
    </row>
    <row r="238" spans="1:7" s="51" customFormat="1">
      <c r="A238" s="53"/>
      <c r="B238" s="53"/>
      <c r="C238" s="153" t="str">
        <f t="shared" si="19"/>
        <v/>
      </c>
      <c r="D238" s="54"/>
      <c r="E238" s="232"/>
      <c r="F238" s="233"/>
      <c r="G238" s="50"/>
    </row>
    <row r="239" spans="1:7" s="51" customFormat="1" ht="15" thickBot="1">
      <c r="A239" s="55"/>
      <c r="B239" s="55"/>
      <c r="C239" s="154" t="str">
        <f t="shared" si="19"/>
        <v/>
      </c>
      <c r="D239" s="56"/>
      <c r="E239" s="234"/>
      <c r="F239" s="235"/>
      <c r="G239" s="50"/>
    </row>
    <row r="240" spans="1:7" s="51" customFormat="1" ht="15" thickBot="1">
      <c r="A240" s="110" t="s">
        <v>27</v>
      </c>
      <c r="B240" s="83">
        <f>SUM(B232:B239)</f>
        <v>51</v>
      </c>
      <c r="C240" s="110" t="str">
        <f xml:space="preserve"> setValueToTime(B240)</f>
        <v>4h15min</v>
      </c>
      <c r="D240" s="119"/>
      <c r="E240" s="236"/>
      <c r="F240" s="237"/>
      <c r="G240" s="50"/>
    </row>
    <row r="241" spans="1:7" s="58" customFormat="1">
      <c r="A241" s="78"/>
      <c r="B241" s="78"/>
      <c r="C241" s="78"/>
      <c r="D241" s="78"/>
      <c r="E241" s="78"/>
      <c r="F241" s="78"/>
      <c r="G241" s="57"/>
    </row>
  </sheetData>
  <sheetProtection formatRows="0" insertRows="0" insertHyperlinks="0" deleteRows="0" selectLockedCells="1"/>
  <mergeCells count="200">
    <mergeCell ref="E12:F12"/>
    <mergeCell ref="E3:F3"/>
    <mergeCell ref="E4:F4"/>
    <mergeCell ref="E5:F5"/>
    <mergeCell ref="E6:F6"/>
    <mergeCell ref="E7:F7"/>
    <mergeCell ref="E8:F8"/>
    <mergeCell ref="E9:F9"/>
    <mergeCell ref="E10:F10"/>
    <mergeCell ref="E11:F1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238:F238"/>
    <mergeCell ref="E239:F239"/>
    <mergeCell ref="E240:F240"/>
    <mergeCell ref="E219:F219"/>
    <mergeCell ref="E220:F220"/>
    <mergeCell ref="E221:F221"/>
    <mergeCell ref="E222:F222"/>
    <mergeCell ref="E223:F223"/>
    <mergeCell ref="E224:F224"/>
    <mergeCell ref="E231:F231"/>
    <mergeCell ref="E232:F232"/>
    <mergeCell ref="E233:F233"/>
    <mergeCell ref="E234:F234"/>
    <mergeCell ref="E235:F235"/>
    <mergeCell ref="E236:F236"/>
    <mergeCell ref="E225:F225"/>
    <mergeCell ref="E226:F226"/>
    <mergeCell ref="E227:F227"/>
    <mergeCell ref="E228:F228"/>
    <mergeCell ref="E237:F237"/>
    <mergeCell ref="E216:F216"/>
    <mergeCell ref="E200:F200"/>
    <mergeCell ref="E201:F201"/>
    <mergeCell ref="E202:F202"/>
    <mergeCell ref="E203:F203"/>
    <mergeCell ref="E204:F204"/>
    <mergeCell ref="E195:F195"/>
    <mergeCell ref="E196:F196"/>
    <mergeCell ref="E197:F197"/>
    <mergeCell ref="E198:F198"/>
    <mergeCell ref="E199:F199"/>
    <mergeCell ref="E207:F207"/>
    <mergeCell ref="E208:F208"/>
    <mergeCell ref="E209:F209"/>
    <mergeCell ref="E210:F210"/>
    <mergeCell ref="E211:F211"/>
    <mergeCell ref="E212:F212"/>
    <mergeCell ref="E213:F213"/>
    <mergeCell ref="E214:F214"/>
    <mergeCell ref="E215:F215"/>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s>
  <phoneticPr fontId="0" type="noConversion"/>
  <conditionalFormatting sqref="B240">
    <cfRule type="cellIs" dxfId="37" priority="20" operator="greaterThan">
      <formula>60</formula>
    </cfRule>
  </conditionalFormatting>
  <conditionalFormatting sqref="B228">
    <cfRule type="cellIs" dxfId="36" priority="19" operator="greaterThan">
      <formula>60</formula>
    </cfRule>
  </conditionalFormatting>
  <conditionalFormatting sqref="B216">
    <cfRule type="cellIs" dxfId="35" priority="18" operator="greaterThan">
      <formula>60</formula>
    </cfRule>
  </conditionalFormatting>
  <conditionalFormatting sqref="B204">
    <cfRule type="cellIs" dxfId="34" priority="17" operator="greaterThan">
      <formula>60</formula>
    </cfRule>
  </conditionalFormatting>
  <conditionalFormatting sqref="B192">
    <cfRule type="cellIs" dxfId="33" priority="16" operator="greaterThan">
      <formula>60</formula>
    </cfRule>
  </conditionalFormatting>
  <conditionalFormatting sqref="B180">
    <cfRule type="cellIs" dxfId="32" priority="15" operator="greaterThan">
      <formula>60</formula>
    </cfRule>
  </conditionalFormatting>
  <conditionalFormatting sqref="B168">
    <cfRule type="cellIs" dxfId="31" priority="14" operator="greaterThan">
      <formula>60</formula>
    </cfRule>
  </conditionalFormatting>
  <conditionalFormatting sqref="B156">
    <cfRule type="cellIs" dxfId="30" priority="13" operator="greaterThan">
      <formula>60</formula>
    </cfRule>
  </conditionalFormatting>
  <conditionalFormatting sqref="B144">
    <cfRule type="cellIs" dxfId="29" priority="12" operator="greaterThan">
      <formula>60</formula>
    </cfRule>
  </conditionalFormatting>
  <conditionalFormatting sqref="B132">
    <cfRule type="cellIs" dxfId="28" priority="11" operator="greaterThan">
      <formula>60</formula>
    </cfRule>
  </conditionalFormatting>
  <conditionalFormatting sqref="B120">
    <cfRule type="cellIs" dxfId="27" priority="10" operator="greaterThan">
      <formula>60</formula>
    </cfRule>
  </conditionalFormatting>
  <conditionalFormatting sqref="B108">
    <cfRule type="cellIs" dxfId="26" priority="9" operator="greaterThan">
      <formula>60</formula>
    </cfRule>
  </conditionalFormatting>
  <conditionalFormatting sqref="B96">
    <cfRule type="cellIs" dxfId="25" priority="8" operator="greaterThan">
      <formula>60</formula>
    </cfRule>
  </conditionalFormatting>
  <conditionalFormatting sqref="B84">
    <cfRule type="cellIs" dxfId="24" priority="7" operator="greaterThan">
      <formula>60</formula>
    </cfRule>
  </conditionalFormatting>
  <conditionalFormatting sqref="B72">
    <cfRule type="cellIs" dxfId="23" priority="6" operator="greaterThan">
      <formula>60</formula>
    </cfRule>
  </conditionalFormatting>
  <conditionalFormatting sqref="B60">
    <cfRule type="cellIs" dxfId="22" priority="5" operator="greaterThan">
      <formula>60</formula>
    </cfRule>
  </conditionalFormatting>
  <conditionalFormatting sqref="B48">
    <cfRule type="cellIs" dxfId="21" priority="4" operator="greaterThan">
      <formula>60</formula>
    </cfRule>
  </conditionalFormatting>
  <conditionalFormatting sqref="B36">
    <cfRule type="cellIs" dxfId="20" priority="3" operator="greaterThan">
      <formula>60</formula>
    </cfRule>
  </conditionalFormatting>
  <conditionalFormatting sqref="B24">
    <cfRule type="cellIs" dxfId="19" priority="2" operator="greaterThan">
      <formula>60</formula>
    </cfRule>
  </conditionalFormatting>
  <conditionalFormatting sqref="B12">
    <cfRule type="cellIs" dxfId="1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20:B227 B232:B239 B208:B215 B196:B203 B184:B191 B172:B179 B160:B167 B148:B155 B136:B143 B124:B131 B112:B119 B100:B107 B88:B95 B76:B83 B64:B71 B52:B59 B40:B47 B28:B35 B16:B23 B4:B11">
      <formula1>0</formula1>
    </dataValidation>
    <dataValidation type="list" allowBlank="1" showInputMessage="1" showErrorMessage="1" sqref="A220:A227 A232:A239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93"/>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16</v>
      </c>
      <c r="C2" s="163"/>
      <c r="D2" s="156" t="s">
        <v>14</v>
      </c>
      <c r="E2" s="157" t="s">
        <v>146</v>
      </c>
      <c r="F2" s="158" t="s">
        <v>75</v>
      </c>
      <c r="G2" s="45"/>
    </row>
    <row r="3" spans="1:7" s="46" customFormat="1" ht="30" customHeight="1" thickBot="1">
      <c r="A3" s="77" t="s">
        <v>4</v>
      </c>
      <c r="B3" s="160" t="s">
        <v>38</v>
      </c>
      <c r="C3" s="159"/>
      <c r="D3" s="77" t="s">
        <v>12</v>
      </c>
      <c r="E3" s="244" t="s">
        <v>13</v>
      </c>
      <c r="F3" s="245"/>
      <c r="G3" s="45"/>
    </row>
    <row r="4" spans="1:7" s="51" customFormat="1">
      <c r="A4" s="47" t="s">
        <v>50</v>
      </c>
      <c r="B4" s="48">
        <v>33</v>
      </c>
      <c r="C4" s="151" t="str">
        <f xml:space="preserve"> IF(B4="","",setValueToTime(B4))</f>
        <v>2h45min</v>
      </c>
      <c r="D4" s="165" t="s">
        <v>150</v>
      </c>
      <c r="E4" s="240"/>
      <c r="F4" s="241"/>
      <c r="G4" s="50"/>
    </row>
    <row r="5" spans="1:7" s="51" customFormat="1">
      <c r="A5" s="52" t="s">
        <v>15</v>
      </c>
      <c r="B5" s="53">
        <v>3</v>
      </c>
      <c r="C5" s="152" t="str">
        <f t="shared" ref="C5:C11" si="0" xml:space="preserve"> IF(B5="","",setValueToTime(B5))</f>
        <v>0h15min</v>
      </c>
      <c r="D5" s="166" t="s">
        <v>151</v>
      </c>
      <c r="E5" s="232"/>
      <c r="F5" s="233"/>
      <c r="G5" s="50"/>
    </row>
    <row r="6" spans="1:7" s="51" customFormat="1">
      <c r="A6" s="52"/>
      <c r="B6" s="53"/>
      <c r="C6" s="152" t="str">
        <f t="shared" si="0"/>
        <v/>
      </c>
      <c r="D6" s="54"/>
      <c r="E6" s="232"/>
      <c r="F6" s="233"/>
      <c r="G6" s="50"/>
    </row>
    <row r="7" spans="1:7" s="51" customFormat="1">
      <c r="A7" s="52"/>
      <c r="B7" s="53"/>
      <c r="C7" s="152" t="str">
        <f t="shared" si="0"/>
        <v/>
      </c>
      <c r="D7" s="54"/>
      <c r="E7" s="232"/>
      <c r="F7" s="233"/>
      <c r="G7" s="50"/>
    </row>
    <row r="8" spans="1:7" s="51" customFormat="1">
      <c r="A8" s="53"/>
      <c r="B8" s="53"/>
      <c r="C8" s="153" t="str">
        <f t="shared" si="0"/>
        <v/>
      </c>
      <c r="D8" s="54"/>
      <c r="E8" s="232"/>
      <c r="F8" s="233"/>
      <c r="G8" s="50"/>
    </row>
    <row r="9" spans="1:7" s="51" customFormat="1">
      <c r="A9" s="53"/>
      <c r="B9" s="53"/>
      <c r="C9" s="153" t="str">
        <f t="shared" si="0"/>
        <v/>
      </c>
      <c r="D9" s="54"/>
      <c r="E9" s="232"/>
      <c r="F9" s="233"/>
      <c r="G9" s="50"/>
    </row>
    <row r="10" spans="1:7" s="51" customFormat="1">
      <c r="A10" s="53"/>
      <c r="B10" s="53"/>
      <c r="C10" s="153" t="str">
        <f t="shared" si="0"/>
        <v/>
      </c>
      <c r="D10" s="54"/>
      <c r="E10" s="232"/>
      <c r="F10" s="233"/>
      <c r="G10" s="50"/>
    </row>
    <row r="11" spans="1:7" s="51" customFormat="1" ht="15" thickBot="1">
      <c r="A11" s="55"/>
      <c r="B11" s="55"/>
      <c r="C11" s="154" t="str">
        <f t="shared" si="0"/>
        <v/>
      </c>
      <c r="D11" s="56"/>
      <c r="E11" s="234"/>
      <c r="F11" s="235"/>
      <c r="G11" s="50"/>
    </row>
    <row r="12" spans="1:7" s="51" customFormat="1" ht="15" thickBot="1">
      <c r="A12" s="161" t="s">
        <v>27</v>
      </c>
      <c r="B12" s="82">
        <f>SUM(B4:B11)</f>
        <v>36</v>
      </c>
      <c r="C12" s="161" t="str">
        <f xml:space="preserve"> setValueToTime(B12)</f>
        <v>3h</v>
      </c>
      <c r="D12" s="120"/>
      <c r="E12" s="242"/>
      <c r="F12" s="243"/>
      <c r="G12" s="50"/>
    </row>
    <row r="13" spans="1:7" s="58" customFormat="1" ht="15" thickBot="1">
      <c r="A13" s="76"/>
      <c r="B13" s="76"/>
      <c r="C13" s="76"/>
      <c r="D13" s="76"/>
      <c r="E13" s="76"/>
      <c r="F13" s="76"/>
      <c r="G13" s="57"/>
    </row>
    <row r="14" spans="1:7" s="46" customFormat="1" ht="30" customHeight="1" thickBot="1">
      <c r="A14" s="155" t="s">
        <v>11</v>
      </c>
      <c r="B14" s="163">
        <v>15</v>
      </c>
      <c r="C14" s="163"/>
      <c r="D14" s="156" t="s">
        <v>14</v>
      </c>
      <c r="E14" s="157" t="s">
        <v>146</v>
      </c>
      <c r="F14" s="158" t="s">
        <v>74</v>
      </c>
      <c r="G14" s="45"/>
    </row>
    <row r="15" spans="1:7" s="46" customFormat="1" ht="30" customHeight="1" thickBot="1">
      <c r="A15" s="77" t="s">
        <v>4</v>
      </c>
      <c r="B15" s="160" t="s">
        <v>38</v>
      </c>
      <c r="C15" s="159"/>
      <c r="D15" s="77" t="s">
        <v>12</v>
      </c>
      <c r="E15" s="244" t="s">
        <v>13</v>
      </c>
      <c r="F15" s="245"/>
      <c r="G15" s="45"/>
    </row>
    <row r="16" spans="1:7" s="51" customFormat="1">
      <c r="A16" s="47" t="s">
        <v>51</v>
      </c>
      <c r="B16" s="48">
        <v>6</v>
      </c>
      <c r="C16" s="151" t="str">
        <f xml:space="preserve"> IF(B16="","",setValueToTime(B16))</f>
        <v>0h30min</v>
      </c>
      <c r="D16" s="165" t="s">
        <v>147</v>
      </c>
      <c r="E16" s="240"/>
      <c r="F16" s="241"/>
      <c r="G16" s="50"/>
    </row>
    <row r="17" spans="1:7" s="51" customFormat="1">
      <c r="A17" s="52" t="s">
        <v>56</v>
      </c>
      <c r="B17" s="53">
        <v>6</v>
      </c>
      <c r="C17" s="152" t="str">
        <f t="shared" ref="C17:C23" si="1" xml:space="preserve"> IF(B17="","",setValueToTime(B17))</f>
        <v>0h30min</v>
      </c>
      <c r="D17" s="166" t="s">
        <v>148</v>
      </c>
      <c r="E17" s="232"/>
      <c r="F17" s="233"/>
      <c r="G17" s="50"/>
    </row>
    <row r="18" spans="1:7" s="51" customFormat="1">
      <c r="A18" s="52" t="s">
        <v>66</v>
      </c>
      <c r="B18" s="53">
        <v>24</v>
      </c>
      <c r="C18" s="152" t="str">
        <f t="shared" si="1"/>
        <v>2h</v>
      </c>
      <c r="D18" s="166" t="s">
        <v>149</v>
      </c>
      <c r="E18" s="232"/>
      <c r="F18" s="233"/>
      <c r="G18" s="50"/>
    </row>
    <row r="19" spans="1:7" s="51" customFormat="1">
      <c r="A19" s="52"/>
      <c r="B19" s="53"/>
      <c r="C19" s="152" t="str">
        <f t="shared" si="1"/>
        <v/>
      </c>
      <c r="D19" s="54"/>
      <c r="E19" s="232"/>
      <c r="F19" s="233"/>
      <c r="G19" s="50"/>
    </row>
    <row r="20" spans="1:7" s="51" customFormat="1">
      <c r="A20" s="53"/>
      <c r="B20" s="53"/>
      <c r="C20" s="153" t="str">
        <f t="shared" si="1"/>
        <v/>
      </c>
      <c r="D20" s="54"/>
      <c r="E20" s="232"/>
      <c r="F20" s="233"/>
      <c r="G20" s="50"/>
    </row>
    <row r="21" spans="1:7" s="51" customFormat="1">
      <c r="A21" s="53"/>
      <c r="B21" s="53"/>
      <c r="C21" s="153" t="str">
        <f t="shared" si="1"/>
        <v/>
      </c>
      <c r="D21" s="54"/>
      <c r="E21" s="232"/>
      <c r="F21" s="233"/>
      <c r="G21" s="50"/>
    </row>
    <row r="22" spans="1:7" s="51" customFormat="1">
      <c r="A22" s="53"/>
      <c r="B22" s="53"/>
      <c r="C22" s="153" t="str">
        <f t="shared" si="1"/>
        <v/>
      </c>
      <c r="D22" s="54"/>
      <c r="E22" s="232"/>
      <c r="F22" s="233"/>
      <c r="G22" s="50"/>
    </row>
    <row r="23" spans="1:7" s="51" customFormat="1" ht="15" thickBot="1">
      <c r="A23" s="55"/>
      <c r="B23" s="55"/>
      <c r="C23" s="154" t="str">
        <f t="shared" si="1"/>
        <v/>
      </c>
      <c r="D23" s="56"/>
      <c r="E23" s="234"/>
      <c r="F23" s="235"/>
      <c r="G23" s="50"/>
    </row>
    <row r="24" spans="1:7" s="51" customFormat="1" ht="15" thickBot="1">
      <c r="A24" s="161" t="s">
        <v>27</v>
      </c>
      <c r="B24" s="82">
        <f>SUM(B16:B23)</f>
        <v>36</v>
      </c>
      <c r="C24" s="161" t="str">
        <f xml:space="preserve"> setValueToTime(B24)</f>
        <v>3h</v>
      </c>
      <c r="D24" s="120"/>
      <c r="E24" s="242"/>
      <c r="F24" s="243"/>
      <c r="G24" s="50"/>
    </row>
    <row r="25" spans="1:7" s="58" customFormat="1" ht="15" thickBot="1">
      <c r="A25" s="76"/>
      <c r="B25" s="76"/>
      <c r="C25" s="76"/>
      <c r="D25" s="76"/>
      <c r="E25" s="76"/>
      <c r="F25" s="76"/>
      <c r="G25" s="57"/>
    </row>
    <row r="26" spans="1:7" s="46" customFormat="1" ht="30" customHeight="1" thickBot="1">
      <c r="A26" s="155" t="s">
        <v>11</v>
      </c>
      <c r="B26" s="163">
        <v>14</v>
      </c>
      <c r="C26" s="163"/>
      <c r="D26" s="156" t="s">
        <v>14</v>
      </c>
      <c r="E26" s="157">
        <v>44235</v>
      </c>
      <c r="F26" s="158" t="s">
        <v>86</v>
      </c>
      <c r="G26" s="45"/>
    </row>
    <row r="27" spans="1:7" s="46" customFormat="1" ht="30" customHeight="1" thickBot="1">
      <c r="A27" s="77" t="s">
        <v>4</v>
      </c>
      <c r="B27" s="160" t="s">
        <v>38</v>
      </c>
      <c r="C27" s="159"/>
      <c r="D27" s="77" t="s">
        <v>12</v>
      </c>
      <c r="E27" s="244" t="s">
        <v>13</v>
      </c>
      <c r="F27" s="245"/>
      <c r="G27" s="45"/>
    </row>
    <row r="28" spans="1:7" s="51" customFormat="1">
      <c r="A28" s="47" t="s">
        <v>51</v>
      </c>
      <c r="B28" s="48">
        <v>36</v>
      </c>
      <c r="C28" s="151" t="str">
        <f xml:space="preserve"> IF(B28="","",setValueToTime(B28))</f>
        <v>3h</v>
      </c>
      <c r="D28" s="165" t="s">
        <v>141</v>
      </c>
      <c r="E28" s="240"/>
      <c r="F28" s="241"/>
      <c r="G28" s="50"/>
    </row>
    <row r="29" spans="1:7" s="51" customFormat="1">
      <c r="A29" s="52"/>
      <c r="B29" s="53"/>
      <c r="C29" s="152" t="str">
        <f t="shared" ref="C29:C35" si="2" xml:space="preserve"> IF(B29="","",setValueToTime(B29))</f>
        <v/>
      </c>
      <c r="D29" s="54"/>
      <c r="E29" s="232"/>
      <c r="F29" s="233"/>
      <c r="G29" s="50"/>
    </row>
    <row r="30" spans="1:7" s="51" customFormat="1">
      <c r="A30" s="52"/>
      <c r="B30" s="53"/>
      <c r="C30" s="152" t="str">
        <f t="shared" si="2"/>
        <v/>
      </c>
      <c r="D30" s="54"/>
      <c r="E30" s="232"/>
      <c r="F30" s="233"/>
      <c r="G30" s="50"/>
    </row>
    <row r="31" spans="1:7" s="51" customFormat="1">
      <c r="A31" s="52"/>
      <c r="B31" s="53"/>
      <c r="C31" s="152" t="str">
        <f t="shared" si="2"/>
        <v/>
      </c>
      <c r="D31" s="54"/>
      <c r="E31" s="232"/>
      <c r="F31" s="233"/>
      <c r="G31" s="50"/>
    </row>
    <row r="32" spans="1:7" s="51" customFormat="1">
      <c r="A32" s="53"/>
      <c r="B32" s="53"/>
      <c r="C32" s="153" t="str">
        <f t="shared" si="2"/>
        <v/>
      </c>
      <c r="D32" s="54"/>
      <c r="E32" s="232"/>
      <c r="F32" s="233"/>
      <c r="G32" s="50"/>
    </row>
    <row r="33" spans="1:7" s="51" customFormat="1">
      <c r="A33" s="53"/>
      <c r="B33" s="53"/>
      <c r="C33" s="153" t="str">
        <f t="shared" si="2"/>
        <v/>
      </c>
      <c r="D33" s="54"/>
      <c r="E33" s="232"/>
      <c r="F33" s="233"/>
      <c r="G33" s="50"/>
    </row>
    <row r="34" spans="1:7" s="51" customFormat="1">
      <c r="A34" s="53"/>
      <c r="B34" s="53"/>
      <c r="C34" s="153" t="str">
        <f t="shared" si="2"/>
        <v/>
      </c>
      <c r="D34" s="54"/>
      <c r="E34" s="232"/>
      <c r="F34" s="233"/>
      <c r="G34" s="50"/>
    </row>
    <row r="35" spans="1:7" s="51" customFormat="1" ht="15" thickBot="1">
      <c r="A35" s="55"/>
      <c r="B35" s="55"/>
      <c r="C35" s="154" t="str">
        <f t="shared" si="2"/>
        <v/>
      </c>
      <c r="D35" s="56"/>
      <c r="E35" s="234"/>
      <c r="F35" s="235"/>
      <c r="G35" s="50"/>
    </row>
    <row r="36" spans="1:7" s="51" customFormat="1" ht="15" thickBot="1">
      <c r="A36" s="161" t="s">
        <v>27</v>
      </c>
      <c r="B36" s="82">
        <f>SUM(B28:B35)</f>
        <v>36</v>
      </c>
      <c r="C36" s="161" t="str">
        <f xml:space="preserve"> setValueToTime(B36)</f>
        <v>3h</v>
      </c>
      <c r="D36" s="120"/>
      <c r="E36" s="242"/>
      <c r="F36" s="243"/>
      <c r="G36" s="50"/>
    </row>
    <row r="37" spans="1:7" s="58" customFormat="1" ht="15" thickBot="1">
      <c r="A37" s="76"/>
      <c r="B37" s="76"/>
      <c r="C37" s="76"/>
      <c r="D37" s="76"/>
      <c r="E37" s="76"/>
      <c r="F37" s="76"/>
      <c r="G37" s="57"/>
    </row>
    <row r="38" spans="1:7" s="46" customFormat="1" ht="30" customHeight="1" thickBot="1">
      <c r="A38" s="155" t="s">
        <v>11</v>
      </c>
      <c r="B38" s="163">
        <v>13</v>
      </c>
      <c r="C38" s="163"/>
      <c r="D38" s="156" t="s">
        <v>14</v>
      </c>
      <c r="E38" s="157" t="s">
        <v>138</v>
      </c>
      <c r="F38" s="158" t="s">
        <v>75</v>
      </c>
      <c r="G38" s="45"/>
    </row>
    <row r="39" spans="1:7" s="46" customFormat="1" ht="30" customHeight="1" thickBot="1">
      <c r="A39" s="77" t="s">
        <v>4</v>
      </c>
      <c r="B39" s="160" t="s">
        <v>38</v>
      </c>
      <c r="C39" s="159"/>
      <c r="D39" s="77" t="s">
        <v>12</v>
      </c>
      <c r="E39" s="244" t="s">
        <v>13</v>
      </c>
      <c r="F39" s="245"/>
      <c r="G39" s="45"/>
    </row>
    <row r="40" spans="1:7" s="51" customFormat="1" ht="27">
      <c r="A40" s="197" t="s">
        <v>66</v>
      </c>
      <c r="B40" s="48">
        <v>33</v>
      </c>
      <c r="C40" s="151" t="str">
        <f xml:space="preserve"> IF(B40="","",setValueToTime(B40))</f>
        <v>2h45min</v>
      </c>
      <c r="D40" s="165" t="s">
        <v>140</v>
      </c>
      <c r="E40" s="240"/>
      <c r="F40" s="241"/>
      <c r="G40" s="50"/>
    </row>
    <row r="41" spans="1:7" s="51" customFormat="1">
      <c r="A41" s="52" t="s">
        <v>15</v>
      </c>
      <c r="B41" s="53">
        <v>3</v>
      </c>
      <c r="C41" s="152" t="str">
        <f t="shared" ref="C41:C47" si="3" xml:space="preserve"> IF(B41="","",setValueToTime(B41))</f>
        <v>0h15min</v>
      </c>
      <c r="D41" s="166" t="s">
        <v>106</v>
      </c>
      <c r="E41" s="232"/>
      <c r="F41" s="233"/>
      <c r="G41" s="50"/>
    </row>
    <row r="42" spans="1:7" s="51" customFormat="1">
      <c r="A42" s="52"/>
      <c r="B42" s="53"/>
      <c r="C42" s="152" t="str">
        <f t="shared" si="3"/>
        <v/>
      </c>
      <c r="D42" s="54"/>
      <c r="E42" s="232"/>
      <c r="F42" s="233"/>
      <c r="G42" s="50"/>
    </row>
    <row r="43" spans="1:7" s="51" customFormat="1">
      <c r="A43" s="52"/>
      <c r="B43" s="53"/>
      <c r="C43" s="152" t="str">
        <f t="shared" si="3"/>
        <v/>
      </c>
      <c r="D43" s="54"/>
      <c r="E43" s="232"/>
      <c r="F43" s="233"/>
      <c r="G43" s="50"/>
    </row>
    <row r="44" spans="1:7" s="51" customFormat="1">
      <c r="A44" s="53"/>
      <c r="B44" s="53"/>
      <c r="C44" s="153" t="str">
        <f t="shared" si="3"/>
        <v/>
      </c>
      <c r="D44" s="54"/>
      <c r="E44" s="232"/>
      <c r="F44" s="233"/>
      <c r="G44" s="50"/>
    </row>
    <row r="45" spans="1:7" s="51" customFormat="1">
      <c r="A45" s="53"/>
      <c r="B45" s="53"/>
      <c r="C45" s="153" t="str">
        <f t="shared" si="3"/>
        <v/>
      </c>
      <c r="D45" s="54"/>
      <c r="E45" s="232"/>
      <c r="F45" s="233"/>
      <c r="G45" s="50"/>
    </row>
    <row r="46" spans="1:7" s="51" customFormat="1">
      <c r="A46" s="53"/>
      <c r="B46" s="53"/>
      <c r="C46" s="153" t="str">
        <f t="shared" si="3"/>
        <v/>
      </c>
      <c r="D46" s="54"/>
      <c r="E46" s="232"/>
      <c r="F46" s="233"/>
      <c r="G46" s="50"/>
    </row>
    <row r="47" spans="1:7" s="51" customFormat="1" ht="15" thickBot="1">
      <c r="A47" s="55"/>
      <c r="B47" s="55"/>
      <c r="C47" s="154" t="str">
        <f t="shared" si="3"/>
        <v/>
      </c>
      <c r="D47" s="56"/>
      <c r="E47" s="234"/>
      <c r="F47" s="235"/>
      <c r="G47" s="50"/>
    </row>
    <row r="48" spans="1:7" s="51" customFormat="1" ht="15" thickBot="1">
      <c r="A48" s="161" t="s">
        <v>27</v>
      </c>
      <c r="B48" s="82">
        <f>SUM(B40:B47)</f>
        <v>36</v>
      </c>
      <c r="C48" s="161" t="str">
        <f xml:space="preserve"> setValueToTime(B48)</f>
        <v>3h</v>
      </c>
      <c r="D48" s="120"/>
      <c r="E48" s="242"/>
      <c r="F48" s="243"/>
      <c r="G48" s="50"/>
    </row>
    <row r="49" spans="1:7" s="58" customFormat="1" ht="15" thickBot="1">
      <c r="A49" s="76"/>
      <c r="B49" s="76"/>
      <c r="C49" s="76"/>
      <c r="D49" s="76"/>
      <c r="E49" s="76"/>
      <c r="F49" s="76"/>
      <c r="G49" s="57"/>
    </row>
    <row r="50" spans="1:7" s="46" customFormat="1" ht="30" customHeight="1" thickBot="1">
      <c r="A50" s="155" t="s">
        <v>11</v>
      </c>
      <c r="B50" s="163">
        <v>12</v>
      </c>
      <c r="C50" s="163"/>
      <c r="D50" s="156" t="s">
        <v>14</v>
      </c>
      <c r="E50" s="157" t="s">
        <v>138</v>
      </c>
      <c r="F50" s="158" t="s">
        <v>74</v>
      </c>
      <c r="G50" s="45"/>
    </row>
    <row r="51" spans="1:7" s="46" customFormat="1" ht="30" customHeight="1" thickBot="1">
      <c r="A51" s="77" t="s">
        <v>4</v>
      </c>
      <c r="B51" s="160" t="s">
        <v>38</v>
      </c>
      <c r="C51" s="159"/>
      <c r="D51" s="77" t="s">
        <v>12</v>
      </c>
      <c r="E51" s="244" t="s">
        <v>13</v>
      </c>
      <c r="F51" s="245"/>
      <c r="G51" s="45"/>
    </row>
    <row r="52" spans="1:7" s="51" customFormat="1" ht="81">
      <c r="A52" s="47" t="s">
        <v>60</v>
      </c>
      <c r="B52" s="48">
        <v>33</v>
      </c>
      <c r="C52" s="151" t="str">
        <f xml:space="preserve"> IF(B52="","",setValueToTime(B52))</f>
        <v>2h45min</v>
      </c>
      <c r="D52" s="165" t="s">
        <v>139</v>
      </c>
      <c r="E52" s="240"/>
      <c r="F52" s="241"/>
      <c r="G52" s="50"/>
    </row>
    <row r="53" spans="1:7" s="51" customFormat="1">
      <c r="A53" s="52" t="s">
        <v>15</v>
      </c>
      <c r="B53" s="53">
        <v>3</v>
      </c>
      <c r="C53" s="152" t="str">
        <f t="shared" ref="C53:C59" si="4" xml:space="preserve"> IF(B53="","",setValueToTime(B53))</f>
        <v>0h15min</v>
      </c>
      <c r="D53" s="166" t="s">
        <v>106</v>
      </c>
      <c r="E53" s="232"/>
      <c r="F53" s="233"/>
      <c r="G53" s="50"/>
    </row>
    <row r="54" spans="1:7" s="51" customFormat="1">
      <c r="A54" s="52"/>
      <c r="B54" s="53"/>
      <c r="C54" s="152" t="str">
        <f t="shared" si="4"/>
        <v/>
      </c>
      <c r="D54" s="54"/>
      <c r="E54" s="232"/>
      <c r="F54" s="233"/>
      <c r="G54" s="50"/>
    </row>
    <row r="55" spans="1:7" s="51" customFormat="1">
      <c r="A55" s="52"/>
      <c r="B55" s="53"/>
      <c r="C55" s="152" t="str">
        <f t="shared" si="4"/>
        <v/>
      </c>
      <c r="D55" s="54"/>
      <c r="E55" s="232"/>
      <c r="F55" s="233"/>
      <c r="G55" s="50"/>
    </row>
    <row r="56" spans="1:7" s="51" customFormat="1">
      <c r="A56" s="53"/>
      <c r="B56" s="53"/>
      <c r="C56" s="153" t="str">
        <f t="shared" si="4"/>
        <v/>
      </c>
      <c r="D56" s="54"/>
      <c r="E56" s="232"/>
      <c r="F56" s="233"/>
      <c r="G56" s="50"/>
    </row>
    <row r="57" spans="1:7" s="51" customFormat="1">
      <c r="A57" s="53"/>
      <c r="B57" s="53"/>
      <c r="C57" s="153" t="str">
        <f t="shared" si="4"/>
        <v/>
      </c>
      <c r="D57" s="54"/>
      <c r="E57" s="232"/>
      <c r="F57" s="233"/>
      <c r="G57" s="50"/>
    </row>
    <row r="58" spans="1:7" s="51" customFormat="1">
      <c r="A58" s="53"/>
      <c r="B58" s="53"/>
      <c r="C58" s="153" t="str">
        <f t="shared" si="4"/>
        <v/>
      </c>
      <c r="D58" s="54"/>
      <c r="E58" s="232"/>
      <c r="F58" s="233"/>
      <c r="G58" s="50"/>
    </row>
    <row r="59" spans="1:7" s="51" customFormat="1" ht="15" thickBot="1">
      <c r="A59" s="55"/>
      <c r="B59" s="55"/>
      <c r="C59" s="154" t="str">
        <f t="shared" si="4"/>
        <v/>
      </c>
      <c r="D59" s="56"/>
      <c r="E59" s="234"/>
      <c r="F59" s="235"/>
      <c r="G59" s="50"/>
    </row>
    <row r="60" spans="1:7" s="51" customFormat="1" ht="15" thickBot="1">
      <c r="A60" s="161" t="s">
        <v>27</v>
      </c>
      <c r="B60" s="82">
        <f>SUM(B52:B59)</f>
        <v>36</v>
      </c>
      <c r="C60" s="161" t="str">
        <f xml:space="preserve"> setValueToTime(B60)</f>
        <v>3h</v>
      </c>
      <c r="D60" s="120"/>
      <c r="E60" s="242"/>
      <c r="F60" s="243"/>
      <c r="G60" s="50"/>
    </row>
    <row r="61" spans="1:7" s="58" customFormat="1" ht="15" thickBot="1">
      <c r="A61" s="76"/>
      <c r="B61" s="76"/>
      <c r="C61" s="76"/>
      <c r="D61" s="76"/>
      <c r="E61" s="76"/>
      <c r="F61" s="76"/>
      <c r="G61" s="57"/>
    </row>
    <row r="62" spans="1:7" s="46" customFormat="1" ht="30" customHeight="1" thickBot="1">
      <c r="A62" s="155" t="s">
        <v>11</v>
      </c>
      <c r="B62" s="163">
        <v>11</v>
      </c>
      <c r="C62" s="163"/>
      <c r="D62" s="156" t="s">
        <v>14</v>
      </c>
      <c r="E62" s="157" t="s">
        <v>135</v>
      </c>
      <c r="F62" s="158" t="s">
        <v>75</v>
      </c>
      <c r="G62" s="45"/>
    </row>
    <row r="63" spans="1:7" s="46" customFormat="1" ht="30" customHeight="1" thickBot="1">
      <c r="A63" s="77" t="s">
        <v>4</v>
      </c>
      <c r="B63" s="160" t="s">
        <v>38</v>
      </c>
      <c r="C63" s="159"/>
      <c r="D63" s="77" t="s">
        <v>12</v>
      </c>
      <c r="E63" s="244" t="s">
        <v>13</v>
      </c>
      <c r="F63" s="245"/>
      <c r="G63" s="45"/>
    </row>
    <row r="64" spans="1:7" s="51" customFormat="1" ht="54">
      <c r="A64" s="47" t="s">
        <v>60</v>
      </c>
      <c r="B64" s="48">
        <v>33</v>
      </c>
      <c r="C64" s="151" t="str">
        <f xml:space="preserve"> IF(B64="","",setValueToTime(B64))</f>
        <v>2h45min</v>
      </c>
      <c r="D64" s="165" t="s">
        <v>137</v>
      </c>
      <c r="E64" s="240"/>
      <c r="F64" s="241"/>
      <c r="G64" s="50"/>
    </row>
    <row r="65" spans="1:7" s="51" customFormat="1">
      <c r="A65" s="52" t="s">
        <v>15</v>
      </c>
      <c r="B65" s="53">
        <v>3</v>
      </c>
      <c r="C65" s="152" t="str">
        <f t="shared" ref="C65:C71" si="5" xml:space="preserve"> IF(B65="","",setValueToTime(B65))</f>
        <v>0h15min</v>
      </c>
      <c r="D65" s="166" t="s">
        <v>106</v>
      </c>
      <c r="E65" s="232"/>
      <c r="F65" s="233"/>
      <c r="G65" s="50"/>
    </row>
    <row r="66" spans="1:7" s="51" customFormat="1">
      <c r="A66" s="52"/>
      <c r="B66" s="53"/>
      <c r="C66" s="152" t="str">
        <f t="shared" si="5"/>
        <v/>
      </c>
      <c r="D66" s="54"/>
      <c r="E66" s="232"/>
      <c r="F66" s="233"/>
      <c r="G66" s="50"/>
    </row>
    <row r="67" spans="1:7" s="51" customFormat="1">
      <c r="A67" s="52"/>
      <c r="B67" s="53"/>
      <c r="C67" s="152" t="str">
        <f t="shared" si="5"/>
        <v/>
      </c>
      <c r="D67" s="54"/>
      <c r="E67" s="232"/>
      <c r="F67" s="233"/>
      <c r="G67" s="50"/>
    </row>
    <row r="68" spans="1:7" s="51" customFormat="1">
      <c r="A68" s="53"/>
      <c r="B68" s="53"/>
      <c r="C68" s="153" t="str">
        <f t="shared" si="5"/>
        <v/>
      </c>
      <c r="D68" s="54"/>
      <c r="E68" s="232"/>
      <c r="F68" s="233"/>
      <c r="G68" s="50"/>
    </row>
    <row r="69" spans="1:7" s="51" customFormat="1">
      <c r="A69" s="53"/>
      <c r="B69" s="53"/>
      <c r="C69" s="153" t="str">
        <f t="shared" si="5"/>
        <v/>
      </c>
      <c r="D69" s="54"/>
      <c r="E69" s="232"/>
      <c r="F69" s="233"/>
      <c r="G69" s="50"/>
    </row>
    <row r="70" spans="1:7" s="51" customFormat="1">
      <c r="A70" s="53"/>
      <c r="B70" s="53"/>
      <c r="C70" s="153" t="str">
        <f t="shared" si="5"/>
        <v/>
      </c>
      <c r="D70" s="54"/>
      <c r="E70" s="232"/>
      <c r="F70" s="233"/>
      <c r="G70" s="50"/>
    </row>
    <row r="71" spans="1:7" s="51" customFormat="1" ht="15" thickBot="1">
      <c r="A71" s="55"/>
      <c r="B71" s="55"/>
      <c r="C71" s="154" t="str">
        <f t="shared" si="5"/>
        <v/>
      </c>
      <c r="D71" s="56"/>
      <c r="E71" s="234"/>
      <c r="F71" s="235"/>
      <c r="G71" s="50"/>
    </row>
    <row r="72" spans="1:7" s="51" customFormat="1" ht="15" thickBot="1">
      <c r="A72" s="161" t="s">
        <v>27</v>
      </c>
      <c r="B72" s="82">
        <f>SUM(B64:B71)</f>
        <v>36</v>
      </c>
      <c r="C72" s="161" t="str">
        <f xml:space="preserve"> setValueToTime(B72)</f>
        <v>3h</v>
      </c>
      <c r="D72" s="120"/>
      <c r="E72" s="242"/>
      <c r="F72" s="243"/>
      <c r="G72" s="50"/>
    </row>
    <row r="73" spans="1:7" s="58" customFormat="1" ht="15" thickBot="1">
      <c r="A73" s="76"/>
      <c r="B73" s="76"/>
      <c r="C73" s="76"/>
      <c r="D73" s="76"/>
      <c r="E73" s="76"/>
      <c r="F73" s="76"/>
      <c r="G73" s="57"/>
    </row>
    <row r="74" spans="1:7" s="46" customFormat="1" ht="30" customHeight="1" thickBot="1">
      <c r="A74" s="155" t="s">
        <v>11</v>
      </c>
      <c r="B74" s="163">
        <v>10</v>
      </c>
      <c r="C74" s="163"/>
      <c r="D74" s="156" t="s">
        <v>14</v>
      </c>
      <c r="E74" s="157" t="s">
        <v>135</v>
      </c>
      <c r="F74" s="158" t="s">
        <v>74</v>
      </c>
      <c r="G74" s="45"/>
    </row>
    <row r="75" spans="1:7" s="46" customFormat="1" ht="30" customHeight="1" thickBot="1">
      <c r="A75" s="77" t="s">
        <v>4</v>
      </c>
      <c r="B75" s="160" t="s">
        <v>38</v>
      </c>
      <c r="C75" s="159"/>
      <c r="D75" s="77" t="s">
        <v>12</v>
      </c>
      <c r="E75" s="244" t="s">
        <v>13</v>
      </c>
      <c r="F75" s="245"/>
      <c r="G75" s="45"/>
    </row>
    <row r="76" spans="1:7" s="51" customFormat="1" ht="40.5">
      <c r="A76" s="47" t="s">
        <v>59</v>
      </c>
      <c r="B76" s="48">
        <v>42</v>
      </c>
      <c r="C76" s="151" t="str">
        <f xml:space="preserve"> IF(B76="","",setValueToTime(B76))</f>
        <v>3h30min</v>
      </c>
      <c r="D76" s="165" t="s">
        <v>136</v>
      </c>
      <c r="E76" s="240"/>
      <c r="F76" s="241"/>
      <c r="G76" s="50"/>
    </row>
    <row r="77" spans="1:7" s="51" customFormat="1">
      <c r="A77" s="52" t="s">
        <v>15</v>
      </c>
      <c r="B77" s="53">
        <v>3</v>
      </c>
      <c r="C77" s="152" t="str">
        <f t="shared" ref="C77:C83" si="6" xml:space="preserve"> IF(B77="","",setValueToTime(B77))</f>
        <v>0h15min</v>
      </c>
      <c r="D77" s="166" t="s">
        <v>106</v>
      </c>
      <c r="E77" s="232"/>
      <c r="F77" s="233"/>
      <c r="G77" s="50"/>
    </row>
    <row r="78" spans="1:7" s="51" customFormat="1">
      <c r="A78" s="52"/>
      <c r="B78" s="53"/>
      <c r="C78" s="152" t="str">
        <f t="shared" si="6"/>
        <v/>
      </c>
      <c r="D78" s="54"/>
      <c r="E78" s="232"/>
      <c r="F78" s="233"/>
      <c r="G78" s="50"/>
    </row>
    <row r="79" spans="1:7" s="51" customFormat="1">
      <c r="A79" s="52"/>
      <c r="B79" s="53"/>
      <c r="C79" s="152" t="str">
        <f t="shared" si="6"/>
        <v/>
      </c>
      <c r="D79" s="54"/>
      <c r="E79" s="232"/>
      <c r="F79" s="233"/>
      <c r="G79" s="50"/>
    </row>
    <row r="80" spans="1:7" s="51" customFormat="1">
      <c r="A80" s="53"/>
      <c r="B80" s="53"/>
      <c r="C80" s="153" t="str">
        <f t="shared" si="6"/>
        <v/>
      </c>
      <c r="D80" s="54"/>
      <c r="E80" s="232"/>
      <c r="F80" s="233"/>
      <c r="G80" s="50"/>
    </row>
    <row r="81" spans="1:7" s="51" customFormat="1">
      <c r="A81" s="53"/>
      <c r="B81" s="53"/>
      <c r="C81" s="153" t="str">
        <f t="shared" si="6"/>
        <v/>
      </c>
      <c r="D81" s="54"/>
      <c r="E81" s="232"/>
      <c r="F81" s="233"/>
      <c r="G81" s="50"/>
    </row>
    <row r="82" spans="1:7" s="51" customFormat="1">
      <c r="A82" s="53"/>
      <c r="B82" s="53"/>
      <c r="C82" s="153" t="str">
        <f t="shared" si="6"/>
        <v/>
      </c>
      <c r="D82" s="54"/>
      <c r="E82" s="232"/>
      <c r="F82" s="233"/>
      <c r="G82" s="50"/>
    </row>
    <row r="83" spans="1:7" s="51" customFormat="1" ht="15" thickBot="1">
      <c r="A83" s="55"/>
      <c r="B83" s="55"/>
      <c r="C83" s="154" t="str">
        <f t="shared" si="6"/>
        <v/>
      </c>
      <c r="D83" s="56"/>
      <c r="E83" s="234"/>
      <c r="F83" s="235"/>
      <c r="G83" s="50"/>
    </row>
    <row r="84" spans="1:7" s="51" customFormat="1" ht="27.75" thickBot="1">
      <c r="A84" s="161" t="s">
        <v>27</v>
      </c>
      <c r="B84" s="82">
        <f>SUM(B76:B83)</f>
        <v>45</v>
      </c>
      <c r="C84" s="161" t="str">
        <f xml:space="preserve"> setValueToTime(B84)</f>
        <v>3h45min</v>
      </c>
      <c r="D84" s="120"/>
      <c r="E84" s="242"/>
      <c r="F84" s="243"/>
      <c r="G84" s="50"/>
    </row>
    <row r="85" spans="1:7" s="58" customFormat="1" ht="15" thickBot="1">
      <c r="A85" s="76"/>
      <c r="B85" s="76"/>
      <c r="C85" s="76"/>
      <c r="D85" s="76"/>
      <c r="E85" s="76"/>
      <c r="F85" s="76"/>
      <c r="G85" s="57"/>
    </row>
    <row r="86" spans="1:7" s="46" customFormat="1" ht="30" customHeight="1" thickBot="1">
      <c r="A86" s="155" t="s">
        <v>11</v>
      </c>
      <c r="B86" s="163">
        <v>9</v>
      </c>
      <c r="C86" s="163"/>
      <c r="D86" s="156" t="s">
        <v>14</v>
      </c>
      <c r="E86" s="157" t="s">
        <v>126</v>
      </c>
      <c r="F86" s="158" t="s">
        <v>75</v>
      </c>
      <c r="G86" s="45"/>
    </row>
    <row r="87" spans="1:7" s="46" customFormat="1" ht="30" customHeight="1" thickBot="1">
      <c r="A87" s="77" t="s">
        <v>4</v>
      </c>
      <c r="B87" s="160" t="s">
        <v>38</v>
      </c>
      <c r="C87" s="159"/>
      <c r="D87" s="77" t="s">
        <v>12</v>
      </c>
      <c r="E87" s="244" t="s">
        <v>13</v>
      </c>
      <c r="F87" s="245"/>
      <c r="G87" s="45"/>
    </row>
    <row r="88" spans="1:7" s="51" customFormat="1" ht="27">
      <c r="A88" s="47" t="s">
        <v>59</v>
      </c>
      <c r="B88" s="48">
        <v>33</v>
      </c>
      <c r="C88" s="151" t="str">
        <f xml:space="preserve"> IF(B88="","",setValueToTime(B88))</f>
        <v>2h45min</v>
      </c>
      <c r="D88" s="165" t="s">
        <v>134</v>
      </c>
      <c r="E88" s="240"/>
      <c r="F88" s="241"/>
      <c r="G88" s="50"/>
    </row>
    <row r="89" spans="1:7" s="51" customFormat="1">
      <c r="A89" s="52" t="s">
        <v>15</v>
      </c>
      <c r="B89" s="53">
        <v>3</v>
      </c>
      <c r="C89" s="152" t="str">
        <f t="shared" ref="C89:C95" si="7" xml:space="preserve"> IF(B89="","",setValueToTime(B89))</f>
        <v>0h15min</v>
      </c>
      <c r="D89" s="166" t="s">
        <v>106</v>
      </c>
      <c r="E89" s="232"/>
      <c r="F89" s="233"/>
      <c r="G89" s="50"/>
    </row>
    <row r="90" spans="1:7" s="51" customFormat="1">
      <c r="A90" s="52"/>
      <c r="B90" s="53"/>
      <c r="C90" s="152" t="str">
        <f t="shared" si="7"/>
        <v/>
      </c>
      <c r="D90" s="54"/>
      <c r="E90" s="232"/>
      <c r="F90" s="233"/>
      <c r="G90" s="50"/>
    </row>
    <row r="91" spans="1:7" s="51" customFormat="1">
      <c r="A91" s="52"/>
      <c r="B91" s="53"/>
      <c r="C91" s="152" t="str">
        <f t="shared" si="7"/>
        <v/>
      </c>
      <c r="D91" s="54"/>
      <c r="E91" s="232"/>
      <c r="F91" s="233"/>
      <c r="G91" s="50"/>
    </row>
    <row r="92" spans="1:7" s="51" customFormat="1">
      <c r="A92" s="53"/>
      <c r="B92" s="53"/>
      <c r="C92" s="153" t="str">
        <f t="shared" si="7"/>
        <v/>
      </c>
      <c r="D92" s="54"/>
      <c r="E92" s="232"/>
      <c r="F92" s="233"/>
      <c r="G92" s="50"/>
    </row>
    <row r="93" spans="1:7" s="51" customFormat="1">
      <c r="A93" s="53"/>
      <c r="B93" s="53"/>
      <c r="C93" s="153" t="str">
        <f t="shared" si="7"/>
        <v/>
      </c>
      <c r="D93" s="54"/>
      <c r="E93" s="232"/>
      <c r="F93" s="233"/>
      <c r="G93" s="50"/>
    </row>
    <row r="94" spans="1:7" s="51" customFormat="1">
      <c r="A94" s="53"/>
      <c r="B94" s="53"/>
      <c r="C94" s="153" t="str">
        <f t="shared" si="7"/>
        <v/>
      </c>
      <c r="D94" s="54"/>
      <c r="E94" s="232"/>
      <c r="F94" s="233"/>
      <c r="G94" s="50"/>
    </row>
    <row r="95" spans="1:7" s="51" customFormat="1" ht="15" thickBot="1">
      <c r="A95" s="55"/>
      <c r="B95" s="55"/>
      <c r="C95" s="154" t="str">
        <f t="shared" si="7"/>
        <v/>
      </c>
      <c r="D95" s="56"/>
      <c r="E95" s="234"/>
      <c r="F95" s="235"/>
      <c r="G95" s="50"/>
    </row>
    <row r="96" spans="1:7" s="51" customFormat="1" ht="15" thickBot="1">
      <c r="A96" s="161" t="s">
        <v>27</v>
      </c>
      <c r="B96" s="82">
        <f>SUM(B88:B95)</f>
        <v>36</v>
      </c>
      <c r="C96" s="161" t="str">
        <f xml:space="preserve"> setValueToTime(B96)</f>
        <v>3h</v>
      </c>
      <c r="D96" s="120"/>
      <c r="E96" s="242"/>
      <c r="F96" s="243"/>
      <c r="G96" s="50"/>
    </row>
    <row r="97" spans="1:7" s="58" customFormat="1" ht="15" thickBot="1">
      <c r="A97" s="76"/>
      <c r="B97" s="76"/>
      <c r="C97" s="76"/>
      <c r="D97" s="76"/>
      <c r="E97" s="76"/>
      <c r="F97" s="76"/>
      <c r="G97" s="57"/>
    </row>
    <row r="98" spans="1:7" s="46" customFormat="1" ht="30" customHeight="1" thickBot="1">
      <c r="A98" s="155" t="s">
        <v>11</v>
      </c>
      <c r="B98" s="163">
        <v>8</v>
      </c>
      <c r="C98" s="163"/>
      <c r="D98" s="156" t="s">
        <v>14</v>
      </c>
      <c r="E98" s="157" t="s">
        <v>126</v>
      </c>
      <c r="F98" s="158" t="s">
        <v>74</v>
      </c>
      <c r="G98" s="45"/>
    </row>
    <row r="99" spans="1:7" s="46" customFormat="1" ht="30" customHeight="1" thickBot="1">
      <c r="A99" s="77" t="s">
        <v>4</v>
      </c>
      <c r="B99" s="160" t="s">
        <v>38</v>
      </c>
      <c r="C99" s="159"/>
      <c r="D99" s="77" t="s">
        <v>12</v>
      </c>
      <c r="E99" s="244" t="s">
        <v>13</v>
      </c>
      <c r="F99" s="245"/>
      <c r="G99" s="45"/>
    </row>
    <row r="100" spans="1:7" s="51" customFormat="1" ht="27">
      <c r="A100" s="47" t="s">
        <v>118</v>
      </c>
      <c r="B100" s="48">
        <v>12</v>
      </c>
      <c r="C100" s="151" t="str">
        <f xml:space="preserve"> IF(B100="","",setValueToTime(B100))</f>
        <v>1h</v>
      </c>
      <c r="D100" s="165" t="s">
        <v>131</v>
      </c>
      <c r="E100" s="240"/>
      <c r="F100" s="241"/>
      <c r="G100" s="50"/>
    </row>
    <row r="101" spans="1:7" s="51" customFormat="1" ht="27">
      <c r="A101" s="52" t="s">
        <v>66</v>
      </c>
      <c r="B101" s="53">
        <v>12</v>
      </c>
      <c r="C101" s="152" t="str">
        <f t="shared" ref="C101:C107" si="8" xml:space="preserve"> IF(B101="","",setValueToTime(B101))</f>
        <v>1h</v>
      </c>
      <c r="D101" s="166" t="s">
        <v>132</v>
      </c>
      <c r="E101" s="232"/>
      <c r="F101" s="233"/>
      <c r="G101" s="50"/>
    </row>
    <row r="102" spans="1:7" s="51" customFormat="1">
      <c r="A102" s="52" t="s">
        <v>59</v>
      </c>
      <c r="B102" s="53">
        <v>21</v>
      </c>
      <c r="C102" s="152" t="str">
        <f t="shared" si="8"/>
        <v>1h45min</v>
      </c>
      <c r="D102" s="166" t="s">
        <v>133</v>
      </c>
      <c r="E102" s="232"/>
      <c r="F102" s="233"/>
      <c r="G102" s="50"/>
    </row>
    <row r="103" spans="1:7" s="51" customFormat="1">
      <c r="A103" s="52"/>
      <c r="B103" s="53"/>
      <c r="C103" s="152" t="str">
        <f t="shared" si="8"/>
        <v/>
      </c>
      <c r="D103" s="54"/>
      <c r="E103" s="232"/>
      <c r="F103" s="233"/>
      <c r="G103" s="50"/>
    </row>
    <row r="104" spans="1:7" s="51" customFormat="1">
      <c r="A104" s="53"/>
      <c r="B104" s="53"/>
      <c r="C104" s="153" t="str">
        <f t="shared" si="8"/>
        <v/>
      </c>
      <c r="D104" s="54"/>
      <c r="E104" s="232"/>
      <c r="F104" s="233"/>
      <c r="G104" s="50"/>
    </row>
    <row r="105" spans="1:7" s="51" customFormat="1">
      <c r="A105" s="53"/>
      <c r="B105" s="53"/>
      <c r="C105" s="153" t="str">
        <f t="shared" si="8"/>
        <v/>
      </c>
      <c r="D105" s="54"/>
      <c r="E105" s="232"/>
      <c r="F105" s="233"/>
      <c r="G105" s="50"/>
    </row>
    <row r="106" spans="1:7" s="51" customFormat="1">
      <c r="A106" s="53"/>
      <c r="B106" s="53"/>
      <c r="C106" s="153" t="str">
        <f t="shared" si="8"/>
        <v/>
      </c>
      <c r="D106" s="54"/>
      <c r="E106" s="232"/>
      <c r="F106" s="233"/>
      <c r="G106" s="50"/>
    </row>
    <row r="107" spans="1:7" s="51" customFormat="1" ht="15" thickBot="1">
      <c r="A107" s="55"/>
      <c r="B107" s="55"/>
      <c r="C107" s="154" t="str">
        <f t="shared" si="8"/>
        <v/>
      </c>
      <c r="D107" s="56"/>
      <c r="E107" s="234"/>
      <c r="F107" s="235"/>
      <c r="G107" s="50"/>
    </row>
    <row r="108" spans="1:7" s="51" customFormat="1" ht="27.75" thickBot="1">
      <c r="A108" s="161" t="s">
        <v>27</v>
      </c>
      <c r="B108" s="82">
        <f>SUM(B100:B107)</f>
        <v>45</v>
      </c>
      <c r="C108" s="161" t="str">
        <f xml:space="preserve"> setValueToTime(B108)</f>
        <v>3h45min</v>
      </c>
      <c r="D108" s="120"/>
      <c r="E108" s="242"/>
      <c r="F108" s="243"/>
      <c r="G108" s="50"/>
    </row>
    <row r="109" spans="1:7" s="58" customFormat="1" ht="15" thickBot="1">
      <c r="A109" s="76"/>
      <c r="B109" s="76"/>
      <c r="C109" s="76"/>
      <c r="D109" s="76"/>
      <c r="E109" s="76"/>
      <c r="F109" s="76"/>
      <c r="G109" s="57"/>
    </row>
    <row r="110" spans="1:7" s="46" customFormat="1" ht="30" customHeight="1" thickBot="1">
      <c r="A110" s="155" t="s">
        <v>11</v>
      </c>
      <c r="B110" s="163">
        <v>7</v>
      </c>
      <c r="C110" s="163"/>
      <c r="D110" s="156" t="s">
        <v>14</v>
      </c>
      <c r="E110" s="157" t="s">
        <v>125</v>
      </c>
      <c r="F110" s="158" t="s">
        <v>74</v>
      </c>
      <c r="G110" s="45"/>
    </row>
    <row r="111" spans="1:7" s="46" customFormat="1" ht="30" customHeight="1" thickBot="1">
      <c r="A111" s="77" t="s">
        <v>4</v>
      </c>
      <c r="B111" s="160" t="s">
        <v>38</v>
      </c>
      <c r="C111" s="159"/>
      <c r="D111" s="77" t="s">
        <v>12</v>
      </c>
      <c r="E111" s="244" t="s">
        <v>13</v>
      </c>
      <c r="F111" s="245"/>
      <c r="G111" s="45"/>
    </row>
    <row r="112" spans="1:7" s="51" customFormat="1">
      <c r="A112" s="47" t="s">
        <v>51</v>
      </c>
      <c r="B112" s="48">
        <v>6</v>
      </c>
      <c r="C112" s="151" t="str">
        <f xml:space="preserve"> IF(B112="","",setValueToTime(B112))</f>
        <v>0h30min</v>
      </c>
      <c r="D112" s="165" t="s">
        <v>127</v>
      </c>
      <c r="E112" s="240"/>
      <c r="F112" s="241"/>
      <c r="G112" s="50"/>
    </row>
    <row r="113" spans="1:7" s="51" customFormat="1" ht="27">
      <c r="A113" s="52" t="s">
        <v>65</v>
      </c>
      <c r="B113" s="53">
        <v>12</v>
      </c>
      <c r="C113" s="152" t="str">
        <f t="shared" ref="C113:C119" si="9" xml:space="preserve"> IF(B113="","",setValueToTime(B113))</f>
        <v>1h</v>
      </c>
      <c r="D113" s="166" t="s">
        <v>128</v>
      </c>
      <c r="E113" s="232"/>
      <c r="F113" s="233"/>
      <c r="G113" s="50"/>
    </row>
    <row r="114" spans="1:7" s="51" customFormat="1">
      <c r="A114" s="52" t="s">
        <v>56</v>
      </c>
      <c r="B114" s="53">
        <v>6</v>
      </c>
      <c r="C114" s="152" t="str">
        <f t="shared" si="9"/>
        <v>0h30min</v>
      </c>
      <c r="D114" s="166" t="s">
        <v>129</v>
      </c>
      <c r="E114" s="232"/>
      <c r="F114" s="233"/>
      <c r="G114" s="50"/>
    </row>
    <row r="115" spans="1:7" s="51" customFormat="1" ht="27">
      <c r="A115" s="52" t="s">
        <v>58</v>
      </c>
      <c r="B115" s="53">
        <v>12</v>
      </c>
      <c r="C115" s="152" t="str">
        <f t="shared" si="9"/>
        <v>1h</v>
      </c>
      <c r="D115" s="166" t="s">
        <v>130</v>
      </c>
      <c r="E115" s="232"/>
      <c r="F115" s="233"/>
      <c r="G115" s="50"/>
    </row>
    <row r="116" spans="1:7" s="51" customFormat="1">
      <c r="A116" s="53"/>
      <c r="B116" s="53"/>
      <c r="C116" s="153" t="str">
        <f t="shared" si="9"/>
        <v/>
      </c>
      <c r="D116" s="54"/>
      <c r="E116" s="232"/>
      <c r="F116" s="233"/>
      <c r="G116" s="50"/>
    </row>
    <row r="117" spans="1:7" s="51" customFormat="1">
      <c r="A117" s="53"/>
      <c r="B117" s="53"/>
      <c r="C117" s="153" t="str">
        <f t="shared" si="9"/>
        <v/>
      </c>
      <c r="D117" s="54"/>
      <c r="E117" s="232"/>
      <c r="F117" s="233"/>
      <c r="G117" s="50"/>
    </row>
    <row r="118" spans="1:7" s="51" customFormat="1">
      <c r="A118" s="53"/>
      <c r="B118" s="53"/>
      <c r="C118" s="153" t="str">
        <f t="shared" si="9"/>
        <v/>
      </c>
      <c r="D118" s="54"/>
      <c r="E118" s="232"/>
      <c r="F118" s="233"/>
      <c r="G118" s="50"/>
    </row>
    <row r="119" spans="1:7" s="51" customFormat="1" ht="15" thickBot="1">
      <c r="A119" s="55"/>
      <c r="B119" s="55"/>
      <c r="C119" s="154" t="str">
        <f t="shared" si="9"/>
        <v/>
      </c>
      <c r="D119" s="56"/>
      <c r="E119" s="234"/>
      <c r="F119" s="235"/>
      <c r="G119" s="50"/>
    </row>
    <row r="120" spans="1:7" s="51" customFormat="1" ht="15" thickBot="1">
      <c r="A120" s="161" t="s">
        <v>27</v>
      </c>
      <c r="B120" s="82">
        <f>SUM(B112:B119)</f>
        <v>36</v>
      </c>
      <c r="C120" s="161" t="str">
        <f xml:space="preserve"> setValueToTime(B120)</f>
        <v>3h</v>
      </c>
      <c r="D120" s="120"/>
      <c r="E120" s="242"/>
      <c r="F120" s="243"/>
      <c r="G120" s="50"/>
    </row>
    <row r="121" spans="1:7" s="58" customFormat="1" ht="15" thickBot="1">
      <c r="A121" s="76"/>
      <c r="B121" s="76"/>
      <c r="C121" s="76"/>
      <c r="D121" s="76"/>
      <c r="E121" s="76"/>
      <c r="F121" s="76"/>
      <c r="G121" s="57"/>
    </row>
    <row r="122" spans="1:7" s="46" customFormat="1" ht="30" customHeight="1" thickBot="1">
      <c r="A122" s="155" t="s">
        <v>11</v>
      </c>
      <c r="B122" s="163">
        <v>6</v>
      </c>
      <c r="C122" s="163"/>
      <c r="D122" s="156" t="s">
        <v>14</v>
      </c>
      <c r="E122" s="157" t="s">
        <v>104</v>
      </c>
      <c r="F122" s="158" t="s">
        <v>91</v>
      </c>
      <c r="G122" s="45"/>
    </row>
    <row r="123" spans="1:7" s="46" customFormat="1" ht="30" customHeight="1" thickBot="1">
      <c r="A123" s="77" t="s">
        <v>4</v>
      </c>
      <c r="B123" s="160" t="s">
        <v>38</v>
      </c>
      <c r="C123" s="159"/>
      <c r="D123" s="77" t="s">
        <v>12</v>
      </c>
      <c r="E123" s="244" t="s">
        <v>13</v>
      </c>
      <c r="F123" s="245"/>
      <c r="G123" s="45"/>
    </row>
    <row r="124" spans="1:7" s="51" customFormat="1" ht="81">
      <c r="A124" s="47" t="s">
        <v>57</v>
      </c>
      <c r="B124" s="48">
        <v>24</v>
      </c>
      <c r="C124" s="151" t="str">
        <f xml:space="preserve"> IF(B124="","",setValueToTime(B124))</f>
        <v>2h</v>
      </c>
      <c r="D124" s="165" t="s">
        <v>107</v>
      </c>
      <c r="E124" s="240"/>
      <c r="F124" s="241"/>
      <c r="G124" s="50"/>
    </row>
    <row r="125" spans="1:7" s="51" customFormat="1" ht="27">
      <c r="A125" s="52" t="s">
        <v>66</v>
      </c>
      <c r="B125" s="53">
        <v>9</v>
      </c>
      <c r="C125" s="152" t="str">
        <f t="shared" ref="C125:C131" si="10" xml:space="preserve"> IF(B125="","",setValueToTime(B125))</f>
        <v>0h45min</v>
      </c>
      <c r="D125" s="166" t="s">
        <v>108</v>
      </c>
      <c r="E125" s="232"/>
      <c r="F125" s="233"/>
      <c r="G125" s="50"/>
    </row>
    <row r="126" spans="1:7" s="51" customFormat="1">
      <c r="A126" s="52" t="s">
        <v>15</v>
      </c>
      <c r="B126" s="53">
        <v>3</v>
      </c>
      <c r="C126" s="152" t="str">
        <f t="shared" si="10"/>
        <v>0h15min</v>
      </c>
      <c r="D126" s="166" t="s">
        <v>106</v>
      </c>
      <c r="E126" s="232"/>
      <c r="F126" s="233"/>
      <c r="G126" s="50"/>
    </row>
    <row r="127" spans="1:7" s="51" customFormat="1">
      <c r="A127" s="52"/>
      <c r="B127" s="53"/>
      <c r="C127" s="152" t="str">
        <f t="shared" si="10"/>
        <v/>
      </c>
      <c r="D127" s="54"/>
      <c r="E127" s="232"/>
      <c r="F127" s="233"/>
      <c r="G127" s="50"/>
    </row>
    <row r="128" spans="1:7" s="51" customFormat="1">
      <c r="A128" s="53"/>
      <c r="B128" s="53"/>
      <c r="C128" s="153" t="str">
        <f t="shared" si="10"/>
        <v/>
      </c>
      <c r="D128" s="54"/>
      <c r="E128" s="232"/>
      <c r="F128" s="233"/>
      <c r="G128" s="50"/>
    </row>
    <row r="129" spans="1:7" s="51" customFormat="1">
      <c r="A129" s="53"/>
      <c r="B129" s="53"/>
      <c r="C129" s="153" t="str">
        <f t="shared" si="10"/>
        <v/>
      </c>
      <c r="D129" s="54"/>
      <c r="E129" s="232"/>
      <c r="F129" s="233"/>
      <c r="G129" s="50"/>
    </row>
    <row r="130" spans="1:7" s="51" customFormat="1">
      <c r="A130" s="53"/>
      <c r="B130" s="53"/>
      <c r="C130" s="153" t="str">
        <f t="shared" si="10"/>
        <v/>
      </c>
      <c r="D130" s="54"/>
      <c r="E130" s="232"/>
      <c r="F130" s="233"/>
      <c r="G130" s="50"/>
    </row>
    <row r="131" spans="1:7" s="51" customFormat="1" ht="15" thickBot="1">
      <c r="A131" s="55"/>
      <c r="B131" s="55"/>
      <c r="C131" s="154" t="str">
        <f t="shared" si="10"/>
        <v/>
      </c>
      <c r="D131" s="56"/>
      <c r="E131" s="234"/>
      <c r="F131" s="235"/>
      <c r="G131" s="50"/>
    </row>
    <row r="132" spans="1:7" s="51" customFormat="1" ht="15" thickBot="1">
      <c r="A132" s="161" t="s">
        <v>27</v>
      </c>
      <c r="B132" s="82">
        <f>SUM(B124:B131)</f>
        <v>36</v>
      </c>
      <c r="C132" s="161" t="str">
        <f xml:space="preserve"> setValueToTime(B132)</f>
        <v>3h</v>
      </c>
      <c r="D132" s="120"/>
      <c r="E132" s="242"/>
      <c r="F132" s="243"/>
      <c r="G132" s="50"/>
    </row>
    <row r="133" spans="1:7" s="58" customFormat="1" ht="15" thickBot="1">
      <c r="A133" s="76"/>
      <c r="B133" s="76"/>
      <c r="C133" s="76"/>
      <c r="D133" s="76"/>
      <c r="E133" s="76"/>
      <c r="F133" s="76"/>
      <c r="G133" s="57"/>
    </row>
    <row r="134" spans="1:7" s="46" customFormat="1" ht="30" customHeight="1" thickBot="1">
      <c r="A134" s="155" t="s">
        <v>11</v>
      </c>
      <c r="B134" s="163">
        <v>5</v>
      </c>
      <c r="C134" s="163"/>
      <c r="D134" s="156" t="s">
        <v>14</v>
      </c>
      <c r="E134" s="157" t="s">
        <v>104</v>
      </c>
      <c r="F134" s="158" t="s">
        <v>86</v>
      </c>
      <c r="G134" s="45"/>
    </row>
    <row r="135" spans="1:7" s="46" customFormat="1" ht="30" customHeight="1" thickBot="1">
      <c r="A135" s="77" t="s">
        <v>4</v>
      </c>
      <c r="B135" s="160" t="s">
        <v>38</v>
      </c>
      <c r="C135" s="159"/>
      <c r="D135" s="77" t="s">
        <v>12</v>
      </c>
      <c r="E135" s="244" t="s">
        <v>13</v>
      </c>
      <c r="F135" s="245"/>
      <c r="G135" s="45"/>
    </row>
    <row r="136" spans="1:7" s="51" customFormat="1" ht="148.5">
      <c r="A136" s="47" t="s">
        <v>58</v>
      </c>
      <c r="B136" s="48">
        <v>33</v>
      </c>
      <c r="C136" s="151" t="str">
        <f xml:space="preserve"> IF(B136="","",setValueToTime(B136))</f>
        <v>2h45min</v>
      </c>
      <c r="D136" s="165" t="s">
        <v>105</v>
      </c>
      <c r="E136" s="240"/>
      <c r="F136" s="241"/>
      <c r="G136" s="50"/>
    </row>
    <row r="137" spans="1:7" s="51" customFormat="1">
      <c r="A137" s="52" t="s">
        <v>15</v>
      </c>
      <c r="B137" s="53">
        <v>3</v>
      </c>
      <c r="C137" s="152" t="str">
        <f t="shared" ref="C137:C143" si="11" xml:space="preserve"> IF(B137="","",setValueToTime(B137))</f>
        <v>0h15min</v>
      </c>
      <c r="D137" s="166" t="s">
        <v>106</v>
      </c>
      <c r="E137" s="232"/>
      <c r="F137" s="233"/>
      <c r="G137" s="50"/>
    </row>
    <row r="138" spans="1:7" s="51" customFormat="1">
      <c r="A138" s="52"/>
      <c r="B138" s="53"/>
      <c r="C138" s="152" t="str">
        <f t="shared" si="11"/>
        <v/>
      </c>
      <c r="D138" s="54"/>
      <c r="E138" s="232"/>
      <c r="F138" s="233"/>
      <c r="G138" s="50"/>
    </row>
    <row r="139" spans="1:7" s="51" customFormat="1">
      <c r="A139" s="52"/>
      <c r="B139" s="53"/>
      <c r="C139" s="152" t="str">
        <f t="shared" si="11"/>
        <v/>
      </c>
      <c r="D139" s="54"/>
      <c r="E139" s="232"/>
      <c r="F139" s="233"/>
      <c r="G139" s="50"/>
    </row>
    <row r="140" spans="1:7" s="51" customFormat="1">
      <c r="A140" s="53"/>
      <c r="B140" s="53"/>
      <c r="C140" s="153" t="str">
        <f t="shared" si="11"/>
        <v/>
      </c>
      <c r="D140" s="54"/>
      <c r="E140" s="232"/>
      <c r="F140" s="233"/>
      <c r="G140" s="50"/>
    </row>
    <row r="141" spans="1:7" s="51" customFormat="1">
      <c r="A141" s="53"/>
      <c r="B141" s="53"/>
      <c r="C141" s="153" t="str">
        <f t="shared" si="11"/>
        <v/>
      </c>
      <c r="D141" s="54"/>
      <c r="E141" s="232"/>
      <c r="F141" s="233"/>
      <c r="G141" s="50"/>
    </row>
    <row r="142" spans="1:7" s="51" customFormat="1">
      <c r="A142" s="53"/>
      <c r="B142" s="53"/>
      <c r="C142" s="153" t="str">
        <f t="shared" si="11"/>
        <v/>
      </c>
      <c r="D142" s="54"/>
      <c r="E142" s="232"/>
      <c r="F142" s="233"/>
      <c r="G142" s="50"/>
    </row>
    <row r="143" spans="1:7" s="51" customFormat="1" ht="15" thickBot="1">
      <c r="A143" s="55"/>
      <c r="B143" s="55"/>
      <c r="C143" s="154" t="str">
        <f t="shared" si="11"/>
        <v/>
      </c>
      <c r="D143" s="56"/>
      <c r="E143" s="234"/>
      <c r="F143" s="235"/>
      <c r="G143" s="50"/>
    </row>
    <row r="144" spans="1:7" s="51" customFormat="1" ht="15" thickBot="1">
      <c r="A144" s="161" t="s">
        <v>27</v>
      </c>
      <c r="B144" s="82">
        <f>SUM(B136:B143)</f>
        <v>36</v>
      </c>
      <c r="C144" s="161" t="str">
        <f xml:space="preserve"> setValueToTime(B144)</f>
        <v>3h</v>
      </c>
      <c r="D144" s="120"/>
      <c r="E144" s="242"/>
      <c r="F144" s="243"/>
      <c r="G144" s="50"/>
    </row>
    <row r="145" spans="1:7" s="58" customFormat="1" ht="15" thickBot="1">
      <c r="A145" s="76"/>
      <c r="B145" s="76"/>
      <c r="C145" s="76"/>
      <c r="D145" s="76"/>
      <c r="E145" s="76"/>
      <c r="F145" s="76"/>
      <c r="G145" s="57"/>
    </row>
    <row r="146" spans="1:7" s="46" customFormat="1" ht="30" customHeight="1" thickBot="1">
      <c r="A146" s="155" t="s">
        <v>11</v>
      </c>
      <c r="B146" s="163">
        <v>4</v>
      </c>
      <c r="C146" s="163"/>
      <c r="D146" s="156" t="s">
        <v>14</v>
      </c>
      <c r="E146" s="157" t="s">
        <v>97</v>
      </c>
      <c r="F146" s="158" t="s">
        <v>91</v>
      </c>
      <c r="G146" s="45"/>
    </row>
    <row r="147" spans="1:7" s="46" customFormat="1" ht="30" customHeight="1" thickBot="1">
      <c r="A147" s="77" t="s">
        <v>4</v>
      </c>
      <c r="B147" s="160" t="s">
        <v>38</v>
      </c>
      <c r="C147" s="159"/>
      <c r="D147" s="77" t="s">
        <v>12</v>
      </c>
      <c r="E147" s="244" t="s">
        <v>13</v>
      </c>
      <c r="F147" s="245"/>
      <c r="G147" s="45"/>
    </row>
    <row r="148" spans="1:7" s="51" customFormat="1" ht="81">
      <c r="A148" s="47" t="s">
        <v>58</v>
      </c>
      <c r="B148" s="48">
        <v>33</v>
      </c>
      <c r="C148" s="151" t="str">
        <f xml:space="preserve"> IF(B148="","",setValueToTime(B148))</f>
        <v>2h45min</v>
      </c>
      <c r="D148" s="165" t="s">
        <v>102</v>
      </c>
      <c r="E148" s="240"/>
      <c r="F148" s="241"/>
      <c r="G148" s="50"/>
    </row>
    <row r="149" spans="1:7" s="51" customFormat="1">
      <c r="A149" s="52" t="s">
        <v>15</v>
      </c>
      <c r="B149" s="53">
        <v>3</v>
      </c>
      <c r="C149" s="152" t="str">
        <f t="shared" ref="C149:C155" si="12" xml:space="preserve"> IF(B149="","",setValueToTime(B149))</f>
        <v>0h15min</v>
      </c>
      <c r="D149" s="166" t="s">
        <v>103</v>
      </c>
      <c r="E149" s="232"/>
      <c r="F149" s="233"/>
      <c r="G149" s="50"/>
    </row>
    <row r="150" spans="1:7" s="51" customFormat="1">
      <c r="A150" s="52"/>
      <c r="B150" s="53"/>
      <c r="C150" s="152" t="str">
        <f t="shared" si="12"/>
        <v/>
      </c>
      <c r="D150" s="54"/>
      <c r="E150" s="232"/>
      <c r="F150" s="233"/>
      <c r="G150" s="50"/>
    </row>
    <row r="151" spans="1:7" s="51" customFormat="1">
      <c r="A151" s="52"/>
      <c r="B151" s="53"/>
      <c r="C151" s="152" t="str">
        <f t="shared" si="12"/>
        <v/>
      </c>
      <c r="D151" s="54"/>
      <c r="E151" s="232"/>
      <c r="F151" s="233"/>
      <c r="G151" s="50"/>
    </row>
    <row r="152" spans="1:7" s="51" customFormat="1">
      <c r="A152" s="53"/>
      <c r="B152" s="53"/>
      <c r="C152" s="153" t="str">
        <f t="shared" si="12"/>
        <v/>
      </c>
      <c r="D152" s="54"/>
      <c r="E152" s="232"/>
      <c r="F152" s="233"/>
      <c r="G152" s="50"/>
    </row>
    <row r="153" spans="1:7" s="51" customFormat="1">
      <c r="A153" s="53"/>
      <c r="B153" s="53"/>
      <c r="C153" s="153" t="str">
        <f t="shared" si="12"/>
        <v/>
      </c>
      <c r="D153" s="54"/>
      <c r="E153" s="232"/>
      <c r="F153" s="233"/>
      <c r="G153" s="50"/>
    </row>
    <row r="154" spans="1:7" s="51" customFormat="1">
      <c r="A154" s="53"/>
      <c r="B154" s="53"/>
      <c r="C154" s="153" t="str">
        <f t="shared" si="12"/>
        <v/>
      </c>
      <c r="D154" s="54"/>
      <c r="E154" s="232"/>
      <c r="F154" s="233"/>
      <c r="G154" s="50"/>
    </row>
    <row r="155" spans="1:7" s="51" customFormat="1" ht="15" thickBot="1">
      <c r="A155" s="55"/>
      <c r="B155" s="55"/>
      <c r="C155" s="154" t="str">
        <f t="shared" si="12"/>
        <v/>
      </c>
      <c r="D155" s="56"/>
      <c r="E155" s="234"/>
      <c r="F155" s="235"/>
      <c r="G155" s="50"/>
    </row>
    <row r="156" spans="1:7" s="51" customFormat="1" ht="15" thickBot="1">
      <c r="A156" s="161" t="s">
        <v>27</v>
      </c>
      <c r="B156" s="82">
        <f>SUM(B148:B155)</f>
        <v>36</v>
      </c>
      <c r="C156" s="161" t="str">
        <f xml:space="preserve"> setValueToTime(B156)</f>
        <v>3h</v>
      </c>
      <c r="D156" s="120"/>
      <c r="E156" s="242"/>
      <c r="F156" s="243"/>
      <c r="G156" s="50"/>
    </row>
    <row r="157" spans="1:7" s="58" customFormat="1" ht="15" thickBot="1">
      <c r="A157" s="76"/>
      <c r="B157" s="76"/>
      <c r="C157" s="76"/>
      <c r="D157" s="76"/>
      <c r="E157" s="76"/>
      <c r="F157" s="76"/>
      <c r="G157" s="57"/>
    </row>
    <row r="158" spans="1:7" s="46" customFormat="1" ht="30" customHeight="1" thickBot="1">
      <c r="A158" s="155" t="s">
        <v>11</v>
      </c>
      <c r="B158" s="163">
        <v>3</v>
      </c>
      <c r="C158" s="163"/>
      <c r="D158" s="156" t="s">
        <v>14</v>
      </c>
      <c r="E158" s="157" t="s">
        <v>97</v>
      </c>
      <c r="F158" s="158" t="s">
        <v>86</v>
      </c>
      <c r="G158" s="45"/>
    </row>
    <row r="159" spans="1:7" s="46" customFormat="1" ht="30" customHeight="1" thickBot="1">
      <c r="A159" s="77" t="s">
        <v>4</v>
      </c>
      <c r="B159" s="160" t="s">
        <v>38</v>
      </c>
      <c r="C159" s="159"/>
      <c r="D159" s="77" t="s">
        <v>12</v>
      </c>
      <c r="E159" s="244" t="s">
        <v>13</v>
      </c>
      <c r="F159" s="245"/>
      <c r="G159" s="45"/>
    </row>
    <row r="160" spans="1:7" s="51" customFormat="1">
      <c r="A160" s="47" t="s">
        <v>56</v>
      </c>
      <c r="B160" s="48">
        <v>3</v>
      </c>
      <c r="C160" s="151" t="str">
        <f xml:space="preserve"> IF(B160="","",setValueToTime(B160))</f>
        <v>0h15min</v>
      </c>
      <c r="D160" s="165" t="s">
        <v>98</v>
      </c>
      <c r="E160" s="240"/>
      <c r="F160" s="241"/>
      <c r="G160" s="50"/>
    </row>
    <row r="161" spans="1:7" s="51" customFormat="1">
      <c r="A161" s="52" t="s">
        <v>50</v>
      </c>
      <c r="B161" s="53">
        <v>15</v>
      </c>
      <c r="C161" s="152" t="str">
        <f t="shared" ref="C161:C167" si="13" xml:space="preserve"> IF(B161="","",setValueToTime(B161))</f>
        <v>1h15min</v>
      </c>
      <c r="D161" s="166" t="s">
        <v>99</v>
      </c>
      <c r="E161" s="232"/>
      <c r="F161" s="233"/>
      <c r="G161" s="50"/>
    </row>
    <row r="162" spans="1:7" s="51" customFormat="1" ht="27">
      <c r="A162" s="52" t="s">
        <v>52</v>
      </c>
      <c r="B162" s="53">
        <v>6</v>
      </c>
      <c r="C162" s="152" t="str">
        <f t="shared" si="13"/>
        <v>0h30min</v>
      </c>
      <c r="D162" s="166" t="s">
        <v>100</v>
      </c>
      <c r="E162" s="232"/>
      <c r="F162" s="233"/>
      <c r="G162" s="50"/>
    </row>
    <row r="163" spans="1:7" s="51" customFormat="1" ht="67.5">
      <c r="A163" s="52" t="s">
        <v>58</v>
      </c>
      <c r="B163" s="53">
        <v>12</v>
      </c>
      <c r="C163" s="152" t="str">
        <f t="shared" si="13"/>
        <v>1h</v>
      </c>
      <c r="D163" s="166" t="s">
        <v>101</v>
      </c>
      <c r="E163" s="232"/>
      <c r="F163" s="233"/>
      <c r="G163" s="50"/>
    </row>
    <row r="164" spans="1:7" s="51" customFormat="1">
      <c r="A164" s="53"/>
      <c r="B164" s="53"/>
      <c r="C164" s="153" t="str">
        <f t="shared" si="13"/>
        <v/>
      </c>
      <c r="D164" s="54"/>
      <c r="E164" s="232"/>
      <c r="F164" s="233"/>
      <c r="G164" s="50"/>
    </row>
    <row r="165" spans="1:7" s="51" customFormat="1">
      <c r="A165" s="53"/>
      <c r="B165" s="53"/>
      <c r="C165" s="153" t="str">
        <f t="shared" si="13"/>
        <v/>
      </c>
      <c r="D165" s="54"/>
      <c r="E165" s="232"/>
      <c r="F165" s="233"/>
      <c r="G165" s="50"/>
    </row>
    <row r="166" spans="1:7" s="51" customFormat="1">
      <c r="A166" s="53"/>
      <c r="B166" s="53"/>
      <c r="C166" s="153" t="str">
        <f t="shared" si="13"/>
        <v/>
      </c>
      <c r="D166" s="54"/>
      <c r="E166" s="232"/>
      <c r="F166" s="233"/>
      <c r="G166" s="50"/>
    </row>
    <row r="167" spans="1:7" s="51" customFormat="1" ht="15" thickBot="1">
      <c r="A167" s="55"/>
      <c r="B167" s="55"/>
      <c r="C167" s="154" t="str">
        <f t="shared" si="13"/>
        <v/>
      </c>
      <c r="D167" s="56"/>
      <c r="E167" s="234"/>
      <c r="F167" s="235"/>
      <c r="G167" s="50"/>
    </row>
    <row r="168" spans="1:7" s="51" customFormat="1" ht="15" thickBot="1">
      <c r="A168" s="161" t="s">
        <v>27</v>
      </c>
      <c r="B168" s="82">
        <f>SUM(B160:B167)</f>
        <v>36</v>
      </c>
      <c r="C168" s="161" t="str">
        <f xml:space="preserve"> setValueToTime(B168)</f>
        <v>3h</v>
      </c>
      <c r="D168" s="120"/>
      <c r="E168" s="242"/>
      <c r="F168" s="243"/>
      <c r="G168" s="50"/>
    </row>
    <row r="169" spans="1:7" s="58" customFormat="1" ht="15" thickBot="1">
      <c r="A169" s="76"/>
      <c r="B169" s="76"/>
      <c r="C169" s="76"/>
      <c r="D169" s="76"/>
      <c r="E169" s="76"/>
      <c r="F169" s="76"/>
      <c r="G169" s="57"/>
    </row>
    <row r="170" spans="1:7" s="46" customFormat="1" ht="30" customHeight="1" thickBot="1">
      <c r="A170" s="155" t="s">
        <v>11</v>
      </c>
      <c r="B170" s="163">
        <v>2</v>
      </c>
      <c r="C170" s="163"/>
      <c r="D170" s="156" t="s">
        <v>14</v>
      </c>
      <c r="E170" s="157" t="s">
        <v>71</v>
      </c>
      <c r="F170" s="158" t="s">
        <v>75</v>
      </c>
      <c r="G170" s="45"/>
    </row>
    <row r="171" spans="1:7" s="46" customFormat="1" ht="30" customHeight="1" thickBot="1">
      <c r="A171" s="77" t="s">
        <v>4</v>
      </c>
      <c r="B171" s="160" t="s">
        <v>38</v>
      </c>
      <c r="C171" s="159"/>
      <c r="D171" s="77" t="s">
        <v>12</v>
      </c>
      <c r="E171" s="244" t="s">
        <v>13</v>
      </c>
      <c r="F171" s="245"/>
      <c r="G171" s="45"/>
    </row>
    <row r="172" spans="1:7" s="51" customFormat="1" ht="67.5">
      <c r="A172" s="47" t="s">
        <v>58</v>
      </c>
      <c r="B172" s="48">
        <v>33</v>
      </c>
      <c r="C172" s="151" t="str">
        <f xml:space="preserve"> IF(B172="","",setValueToTime(B172))</f>
        <v>2h45min</v>
      </c>
      <c r="D172" s="165" t="s">
        <v>84</v>
      </c>
      <c r="E172" s="240"/>
      <c r="F172" s="241"/>
      <c r="G172" s="50"/>
    </row>
    <row r="173" spans="1:7" s="51" customFormat="1">
      <c r="A173" s="52" t="s">
        <v>15</v>
      </c>
      <c r="B173" s="53">
        <v>3</v>
      </c>
      <c r="C173" s="152" t="str">
        <f t="shared" ref="C173:C179" si="14" xml:space="preserve"> IF(B173="","",setValueToTime(B173))</f>
        <v>0h15min</v>
      </c>
      <c r="D173" s="166" t="s">
        <v>85</v>
      </c>
      <c r="E173" s="232"/>
      <c r="F173" s="233"/>
      <c r="G173" s="50"/>
    </row>
    <row r="174" spans="1:7" s="51" customFormat="1">
      <c r="A174" s="52"/>
      <c r="B174" s="53"/>
      <c r="C174" s="152" t="str">
        <f t="shared" si="14"/>
        <v/>
      </c>
      <c r="D174" s="54"/>
      <c r="E174" s="232"/>
      <c r="F174" s="233"/>
      <c r="G174" s="50"/>
    </row>
    <row r="175" spans="1:7" s="51" customFormat="1">
      <c r="A175" s="52"/>
      <c r="B175" s="53"/>
      <c r="C175" s="152" t="str">
        <f t="shared" si="14"/>
        <v/>
      </c>
      <c r="D175" s="54"/>
      <c r="E175" s="232"/>
      <c r="F175" s="233"/>
      <c r="G175" s="50"/>
    </row>
    <row r="176" spans="1:7" s="51" customFormat="1">
      <c r="A176" s="53"/>
      <c r="B176" s="53"/>
      <c r="C176" s="153" t="str">
        <f t="shared" si="14"/>
        <v/>
      </c>
      <c r="D176" s="54"/>
      <c r="E176" s="232"/>
      <c r="F176" s="233"/>
      <c r="G176" s="50"/>
    </row>
    <row r="177" spans="1:7" s="51" customFormat="1">
      <c r="A177" s="53"/>
      <c r="B177" s="53"/>
      <c r="C177" s="153" t="str">
        <f t="shared" si="14"/>
        <v/>
      </c>
      <c r="D177" s="54"/>
      <c r="E177" s="232"/>
      <c r="F177" s="233"/>
      <c r="G177" s="50"/>
    </row>
    <row r="178" spans="1:7" s="51" customFormat="1">
      <c r="A178" s="53"/>
      <c r="B178" s="53"/>
      <c r="C178" s="153" t="str">
        <f t="shared" si="14"/>
        <v/>
      </c>
      <c r="D178" s="54"/>
      <c r="E178" s="232"/>
      <c r="F178" s="233"/>
      <c r="G178" s="50"/>
    </row>
    <row r="179" spans="1:7" s="51" customFormat="1" ht="15" thickBot="1">
      <c r="A179" s="55"/>
      <c r="B179" s="55"/>
      <c r="C179" s="154" t="str">
        <f t="shared" si="14"/>
        <v/>
      </c>
      <c r="D179" s="56"/>
      <c r="E179" s="234"/>
      <c r="F179" s="235"/>
      <c r="G179" s="50"/>
    </row>
    <row r="180" spans="1:7" s="51" customFormat="1" ht="15" thickBot="1">
      <c r="A180" s="161" t="s">
        <v>27</v>
      </c>
      <c r="B180" s="82">
        <f>SUM(B172:B179)</f>
        <v>36</v>
      </c>
      <c r="C180" s="161" t="str">
        <f xml:space="preserve"> setValueToTime(B180)</f>
        <v>3h</v>
      </c>
      <c r="D180" s="120"/>
      <c r="E180" s="242"/>
      <c r="F180" s="243"/>
      <c r="G180" s="50"/>
    </row>
    <row r="181" spans="1:7" s="58" customFormat="1" ht="15" thickBot="1">
      <c r="A181" s="76"/>
      <c r="B181" s="76"/>
      <c r="C181" s="76"/>
      <c r="D181" s="76"/>
      <c r="E181" s="76"/>
      <c r="F181" s="76"/>
      <c r="G181" s="57"/>
    </row>
    <row r="182" spans="1:7" s="46" customFormat="1" ht="30" customHeight="1" thickBot="1">
      <c r="A182" s="155" t="s">
        <v>11</v>
      </c>
      <c r="B182" s="163">
        <v>1</v>
      </c>
      <c r="C182" s="163"/>
      <c r="D182" s="156" t="s">
        <v>14</v>
      </c>
      <c r="E182" s="157" t="s">
        <v>71</v>
      </c>
      <c r="F182" s="158" t="s">
        <v>74</v>
      </c>
      <c r="G182" s="45"/>
    </row>
    <row r="183" spans="1:7" s="46" customFormat="1" ht="30" customHeight="1" thickBot="1">
      <c r="A183" s="77" t="s">
        <v>4</v>
      </c>
      <c r="B183" s="160" t="s">
        <v>38</v>
      </c>
      <c r="C183" s="159"/>
      <c r="D183" s="77" t="s">
        <v>12</v>
      </c>
      <c r="E183" s="244" t="s">
        <v>13</v>
      </c>
      <c r="F183" s="245"/>
      <c r="G183" s="45"/>
    </row>
    <row r="184" spans="1:7" s="51" customFormat="1">
      <c r="A184" s="47" t="s">
        <v>51</v>
      </c>
      <c r="B184" s="48">
        <v>12</v>
      </c>
      <c r="C184" s="151" t="str">
        <f xml:space="preserve"> IF(B184="","",setValueToTime(B184))</f>
        <v>1h</v>
      </c>
      <c r="D184" s="165" t="s">
        <v>79</v>
      </c>
      <c r="E184" s="240"/>
      <c r="F184" s="241"/>
      <c r="G184" s="50"/>
    </row>
    <row r="185" spans="1:7" s="51" customFormat="1">
      <c r="A185" s="52" t="s">
        <v>56</v>
      </c>
      <c r="B185" s="53">
        <v>9</v>
      </c>
      <c r="C185" s="152" t="str">
        <f t="shared" ref="C185:C191" si="15" xml:space="preserve"> IF(B185="","",setValueToTime(B185))</f>
        <v>0h45min</v>
      </c>
      <c r="D185" s="166" t="s">
        <v>69</v>
      </c>
      <c r="E185" s="232"/>
      <c r="F185" s="233"/>
      <c r="G185" s="50"/>
    </row>
    <row r="186" spans="1:7" s="51" customFormat="1" ht="27">
      <c r="A186" s="52" t="s">
        <v>64</v>
      </c>
      <c r="B186" s="53">
        <v>9</v>
      </c>
      <c r="C186" s="152" t="str">
        <f t="shared" si="15"/>
        <v>0h45min</v>
      </c>
      <c r="D186" s="166" t="s">
        <v>81</v>
      </c>
      <c r="E186" s="246" t="s">
        <v>80</v>
      </c>
      <c r="F186" s="233"/>
      <c r="G186" s="50"/>
    </row>
    <row r="187" spans="1:7" s="51" customFormat="1" ht="27">
      <c r="A187" s="52" t="s">
        <v>65</v>
      </c>
      <c r="B187" s="53">
        <v>3</v>
      </c>
      <c r="C187" s="152" t="str">
        <f t="shared" si="15"/>
        <v>0h15min</v>
      </c>
      <c r="D187" s="166" t="s">
        <v>82</v>
      </c>
      <c r="E187" s="232"/>
      <c r="F187" s="233"/>
      <c r="G187" s="50"/>
    </row>
    <row r="188" spans="1:7" s="51" customFormat="1" ht="40.5">
      <c r="A188" s="53" t="s">
        <v>58</v>
      </c>
      <c r="B188" s="53">
        <v>18</v>
      </c>
      <c r="C188" s="153" t="str">
        <f t="shared" si="15"/>
        <v>1h30min</v>
      </c>
      <c r="D188" s="166" t="s">
        <v>83</v>
      </c>
      <c r="E188" s="232"/>
      <c r="F188" s="233"/>
      <c r="G188" s="50"/>
    </row>
    <row r="189" spans="1:7" s="51" customFormat="1">
      <c r="A189" s="53"/>
      <c r="B189" s="53"/>
      <c r="C189" s="153" t="str">
        <f t="shared" si="15"/>
        <v/>
      </c>
      <c r="D189" s="54"/>
      <c r="E189" s="232"/>
      <c r="F189" s="233"/>
      <c r="G189" s="50"/>
    </row>
    <row r="190" spans="1:7" s="51" customFormat="1">
      <c r="A190" s="53"/>
      <c r="B190" s="53"/>
      <c r="C190" s="153" t="str">
        <f t="shared" si="15"/>
        <v/>
      </c>
      <c r="D190" s="54"/>
      <c r="E190" s="232"/>
      <c r="F190" s="233"/>
      <c r="G190" s="50"/>
    </row>
    <row r="191" spans="1:7" s="51" customFormat="1" ht="15" thickBot="1">
      <c r="A191" s="55"/>
      <c r="B191" s="55"/>
      <c r="C191" s="154" t="str">
        <f t="shared" si="15"/>
        <v/>
      </c>
      <c r="D191" s="56"/>
      <c r="E191" s="234"/>
      <c r="F191" s="235"/>
      <c r="G191" s="50"/>
    </row>
    <row r="192" spans="1:7" s="51" customFormat="1" ht="27.75" thickBot="1">
      <c r="A192" s="161" t="s">
        <v>27</v>
      </c>
      <c r="B192" s="82">
        <f>SUM(B184:B191)</f>
        <v>51</v>
      </c>
      <c r="C192" s="161" t="str">
        <f xml:space="preserve"> setValueToTime(B192)</f>
        <v>4h15min</v>
      </c>
      <c r="D192" s="120"/>
      <c r="E192" s="242"/>
      <c r="F192" s="243"/>
      <c r="G192" s="50"/>
    </row>
    <row r="193" spans="1:7" s="58" customFormat="1">
      <c r="A193" s="76"/>
      <c r="B193" s="76"/>
      <c r="C193" s="76"/>
      <c r="D193" s="76"/>
      <c r="E193" s="76"/>
      <c r="F193" s="76"/>
      <c r="G193" s="57"/>
    </row>
  </sheetData>
  <sheetProtection formatRows="0" insertRows="0" insertHyperlinks="0" deleteRows="0" selectLockedCells="1"/>
  <mergeCells count="160">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84:F84"/>
    <mergeCell ref="E51:F51"/>
    <mergeCell ref="E52:F52"/>
    <mergeCell ref="E53:F53"/>
    <mergeCell ref="E54:F54"/>
    <mergeCell ref="E55:F55"/>
    <mergeCell ref="E56:F56"/>
    <mergeCell ref="E57:F57"/>
    <mergeCell ref="E58:F58"/>
    <mergeCell ref="E59:F59"/>
    <mergeCell ref="E60:F60"/>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23:F123"/>
    <mergeCell ref="E124:F124"/>
    <mergeCell ref="E125:F125"/>
    <mergeCell ref="E126:F126"/>
    <mergeCell ref="E127:F127"/>
    <mergeCell ref="E128:F128"/>
    <mergeCell ref="E129:F129"/>
    <mergeCell ref="E130:F130"/>
    <mergeCell ref="E131:F131"/>
    <mergeCell ref="E112:F112"/>
    <mergeCell ref="E113:F113"/>
    <mergeCell ref="E114:F114"/>
    <mergeCell ref="E115:F115"/>
    <mergeCell ref="E116:F116"/>
    <mergeCell ref="E117:F117"/>
    <mergeCell ref="E118:F118"/>
    <mergeCell ref="E119:F119"/>
    <mergeCell ref="E120:F120"/>
    <mergeCell ref="E160:F160"/>
    <mergeCell ref="E192:F192"/>
    <mergeCell ref="E171:F171"/>
    <mergeCell ref="E172:F172"/>
    <mergeCell ref="E173:F173"/>
    <mergeCell ref="E174:F174"/>
    <mergeCell ref="E175:F175"/>
    <mergeCell ref="E176:F176"/>
    <mergeCell ref="E183:F183"/>
    <mergeCell ref="E184:F184"/>
    <mergeCell ref="E185:F185"/>
    <mergeCell ref="E186:F186"/>
    <mergeCell ref="E187:F187"/>
    <mergeCell ref="E188:F188"/>
    <mergeCell ref="E180:F180"/>
    <mergeCell ref="E189:F189"/>
    <mergeCell ref="E191:F191"/>
    <mergeCell ref="E177:F177"/>
    <mergeCell ref="E178:F178"/>
    <mergeCell ref="E179:F179"/>
    <mergeCell ref="E164:F164"/>
    <mergeCell ref="E165:F165"/>
    <mergeCell ref="E166:F166"/>
    <mergeCell ref="E167:F167"/>
    <mergeCell ref="E168:F168"/>
    <mergeCell ref="E190:F190"/>
    <mergeCell ref="E161:F161"/>
    <mergeCell ref="E162:F162"/>
    <mergeCell ref="E163:F163"/>
    <mergeCell ref="E63:F63"/>
    <mergeCell ref="E64:F64"/>
    <mergeCell ref="E65:F65"/>
    <mergeCell ref="E66:F66"/>
    <mergeCell ref="E67:F67"/>
    <mergeCell ref="E68:F68"/>
    <mergeCell ref="E69:F69"/>
    <mergeCell ref="E70:F70"/>
    <mergeCell ref="E71:F71"/>
    <mergeCell ref="E72:F72"/>
    <mergeCell ref="E147:F147"/>
    <mergeCell ref="E148:F148"/>
    <mergeCell ref="E149:F149"/>
    <mergeCell ref="E150:F150"/>
    <mergeCell ref="E151:F151"/>
    <mergeCell ref="E152:F152"/>
    <mergeCell ref="E153:F153"/>
    <mergeCell ref="E154:F154"/>
    <mergeCell ref="E155:F155"/>
    <mergeCell ref="E156:F156"/>
    <mergeCell ref="E159:F159"/>
    <mergeCell ref="E39:F39"/>
    <mergeCell ref="E40:F40"/>
    <mergeCell ref="E41:F41"/>
    <mergeCell ref="E42:F42"/>
    <mergeCell ref="E43:F43"/>
    <mergeCell ref="E44:F44"/>
    <mergeCell ref="E45:F45"/>
    <mergeCell ref="E46:F46"/>
    <mergeCell ref="E47:F47"/>
    <mergeCell ref="E48:F48"/>
    <mergeCell ref="E143:F143"/>
    <mergeCell ref="E144:F144"/>
    <mergeCell ref="E135:F135"/>
    <mergeCell ref="E136:F136"/>
    <mergeCell ref="E137:F137"/>
    <mergeCell ref="E138:F138"/>
    <mergeCell ref="E139:F139"/>
    <mergeCell ref="E140:F140"/>
    <mergeCell ref="E141:F141"/>
    <mergeCell ref="E142:F142"/>
    <mergeCell ref="E132:F132"/>
    <mergeCell ref="E111:F111"/>
    <mergeCell ref="E12:F12"/>
    <mergeCell ref="E3:F3"/>
    <mergeCell ref="E4:F4"/>
    <mergeCell ref="E5:F5"/>
    <mergeCell ref="E6:F6"/>
    <mergeCell ref="E7:F7"/>
    <mergeCell ref="E8:F8"/>
    <mergeCell ref="E9:F9"/>
    <mergeCell ref="E10:F10"/>
    <mergeCell ref="E11:F11"/>
  </mergeCells>
  <phoneticPr fontId="0" type="noConversion"/>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2 B180 B168 B156 B144 B132 B120 B108 B96 B84 B72 B60 B48 B36 B24 B12">
      <formula1>0</formula1>
      <formula2>60</formula2>
    </dataValidation>
    <dataValidation type="list" allowBlank="1" showInputMessage="1" showErrorMessage="1" sqref="A184:A191 A172:A179 A160:A167 A148:A155 A136:A143 A124:A131 A112:A119 A100:A107 A88:A95 A76:A83 A64:A71 A52:A59 A40:A47 A28:A35 A16:A23 A4:A11">
      <formula1>ListeTaches</formula1>
    </dataValidation>
  </dataValidations>
  <hyperlinks>
    <hyperlink ref="E186"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942975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89"/>
    </row>
    <row r="11" spans="1:61" ht="18">
      <c r="A11" s="201"/>
      <c r="B11" s="201"/>
      <c r="C11" s="201"/>
      <c r="D11" s="201"/>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1"/>
      <c r="AI11" s="201"/>
      <c r="AJ11" s="201"/>
      <c r="AK11" s="201"/>
      <c r="AL11" s="201"/>
      <c r="AM11" s="201"/>
      <c r="AN11" s="201"/>
      <c r="AO11" s="201"/>
      <c r="AP11" s="201"/>
      <c r="AQ11" s="201"/>
      <c r="AR11" s="201"/>
      <c r="AS11" s="201"/>
      <c r="AT11" s="201"/>
      <c r="AU11" s="201"/>
      <c r="AV11" s="201"/>
      <c r="AW11" s="201"/>
      <c r="AX11" s="201"/>
      <c r="AY11" s="201"/>
      <c r="AZ11" s="201"/>
      <c r="BA11" s="201"/>
      <c r="BB11" s="201"/>
      <c r="BC11" s="201"/>
      <c r="BD11" s="201"/>
      <c r="BE11" s="201"/>
      <c r="BF11" s="201"/>
      <c r="BG11" s="201"/>
      <c r="BH11" s="201"/>
      <c r="BI11" s="89"/>
    </row>
    <row r="12" spans="1:61" ht="18.75" thickBot="1">
      <c r="A12" s="202"/>
      <c r="B12" s="202"/>
      <c r="C12" s="202"/>
      <c r="D12" s="202"/>
      <c r="E12" s="202"/>
      <c r="F12" s="202"/>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89"/>
    </row>
    <row r="13" spans="1:61" ht="18.75" thickBot="1">
      <c r="A13" s="203" t="s">
        <v>11</v>
      </c>
      <c r="B13" s="204"/>
      <c r="C13" s="204"/>
      <c r="D13" s="204"/>
      <c r="E13" s="204"/>
      <c r="F13" s="204"/>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c r="BH13" s="205"/>
      <c r="BI13" s="89"/>
    </row>
    <row r="14" spans="1:61" ht="15.75" thickBot="1">
      <c r="A14" s="102"/>
      <c r="B14" s="103"/>
      <c r="C14" s="103"/>
      <c r="D14" s="103"/>
      <c r="E14" s="206" t="s">
        <v>32</v>
      </c>
      <c r="F14" s="206"/>
      <c r="G14" s="206"/>
      <c r="H14" s="206"/>
      <c r="I14" s="103"/>
      <c r="J14" s="103"/>
      <c r="K14" s="207" t="s">
        <v>22</v>
      </c>
      <c r="L14" s="207"/>
      <c r="M14" s="207"/>
      <c r="N14" s="207"/>
      <c r="O14" s="128"/>
      <c r="P14" s="128"/>
      <c r="Q14" s="206" t="s">
        <v>33</v>
      </c>
      <c r="R14" s="206"/>
      <c r="S14" s="206"/>
      <c r="T14" s="206"/>
      <c r="U14" s="103"/>
      <c r="V14" s="103"/>
      <c r="W14" s="207" t="s">
        <v>23</v>
      </c>
      <c r="X14" s="207"/>
      <c r="Y14" s="207"/>
      <c r="Z14" s="207"/>
      <c r="AA14" s="128"/>
      <c r="AB14" s="128"/>
      <c r="AC14" s="206" t="s">
        <v>34</v>
      </c>
      <c r="AD14" s="206"/>
      <c r="AE14" s="206"/>
      <c r="AF14" s="206"/>
      <c r="AG14" s="103"/>
      <c r="AH14" s="103"/>
      <c r="AI14" s="207" t="s">
        <v>24</v>
      </c>
      <c r="AJ14" s="207"/>
      <c r="AK14" s="207"/>
      <c r="AL14" s="207"/>
      <c r="AM14" s="128"/>
      <c r="AN14" s="128"/>
      <c r="AO14" s="206" t="s">
        <v>35</v>
      </c>
      <c r="AP14" s="206"/>
      <c r="AQ14" s="206"/>
      <c r="AR14" s="206"/>
      <c r="AS14" s="103"/>
      <c r="AT14" s="103"/>
      <c r="AU14" s="207" t="s">
        <v>25</v>
      </c>
      <c r="AV14" s="207"/>
      <c r="AW14" s="207"/>
      <c r="AX14" s="207"/>
      <c r="AY14" s="128"/>
      <c r="AZ14" s="128"/>
      <c r="BA14" s="206" t="s">
        <v>36</v>
      </c>
      <c r="BB14" s="206"/>
      <c r="BC14" s="206"/>
      <c r="BD14" s="206"/>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8" t="s">
        <v>13</v>
      </c>
      <c r="F2" s="239"/>
      <c r="G2" s="45"/>
    </row>
    <row r="3" spans="1:7" s="51" customFormat="1">
      <c r="A3" s="47"/>
      <c r="B3" s="48"/>
      <c r="C3" s="151" t="str">
        <f xml:space="preserve"> IF(B3="","",setValueToTime(B3))</f>
        <v/>
      </c>
      <c r="D3" s="49"/>
      <c r="E3" s="240"/>
      <c r="F3" s="241"/>
      <c r="G3" s="50"/>
    </row>
    <row r="4" spans="1:7" s="51" customFormat="1">
      <c r="A4" s="52"/>
      <c r="B4" s="53"/>
      <c r="C4" s="152" t="str">
        <f t="shared" ref="C4:C10" si="0" xml:space="preserve"> IF(B4="","",setValueToTime(B4))</f>
        <v/>
      </c>
      <c r="D4" s="54"/>
      <c r="E4" s="232"/>
      <c r="F4" s="233"/>
      <c r="G4" s="50"/>
    </row>
    <row r="5" spans="1:7" s="51" customFormat="1">
      <c r="A5" s="52"/>
      <c r="B5" s="53"/>
      <c r="C5" s="152" t="str">
        <f t="shared" si="0"/>
        <v/>
      </c>
      <c r="D5" s="54"/>
      <c r="E5" s="232"/>
      <c r="F5" s="233"/>
      <c r="G5" s="50"/>
    </row>
    <row r="6" spans="1:7" s="51" customFormat="1">
      <c r="A6" s="52"/>
      <c r="B6" s="53"/>
      <c r="C6" s="152" t="str">
        <f t="shared" si="0"/>
        <v/>
      </c>
      <c r="D6" s="54"/>
      <c r="E6" s="232"/>
      <c r="F6" s="233"/>
      <c r="G6" s="50"/>
    </row>
    <row r="7" spans="1:7" s="51" customFormat="1">
      <c r="A7" s="53"/>
      <c r="B7" s="53"/>
      <c r="C7" s="153" t="str">
        <f t="shared" si="0"/>
        <v/>
      </c>
      <c r="D7" s="54"/>
      <c r="E7" s="232"/>
      <c r="F7" s="233"/>
      <c r="G7" s="50"/>
    </row>
    <row r="8" spans="1:7" s="51" customFormat="1">
      <c r="A8" s="53"/>
      <c r="B8" s="53"/>
      <c r="C8" s="153" t="str">
        <f t="shared" si="0"/>
        <v/>
      </c>
      <c r="D8" s="54"/>
      <c r="E8" s="232"/>
      <c r="F8" s="233"/>
      <c r="G8" s="50"/>
    </row>
    <row r="9" spans="1:7" s="51" customFormat="1">
      <c r="A9" s="53"/>
      <c r="B9" s="53"/>
      <c r="C9" s="153" t="str">
        <f t="shared" si="0"/>
        <v/>
      </c>
      <c r="D9" s="54"/>
      <c r="E9" s="232"/>
      <c r="F9" s="233"/>
      <c r="G9" s="50"/>
    </row>
    <row r="10" spans="1:7" s="51" customFormat="1" ht="15" thickBot="1">
      <c r="A10" s="55"/>
      <c r="B10" s="55"/>
      <c r="C10" s="154" t="str">
        <f t="shared" si="0"/>
        <v/>
      </c>
      <c r="D10" s="56"/>
      <c r="E10" s="234"/>
      <c r="F10" s="235"/>
      <c r="G10" s="50"/>
    </row>
    <row r="11" spans="1:7" s="51" customFormat="1" ht="15" thickBot="1">
      <c r="A11" s="110" t="s">
        <v>27</v>
      </c>
      <c r="B11" s="83">
        <f>SUM(B3:B10)</f>
        <v>0</v>
      </c>
      <c r="C11" s="110" t="str">
        <f xml:space="preserve"> setValueToTime(B11)</f>
        <v>0h</v>
      </c>
      <c r="D11" s="119"/>
      <c r="E11" s="236"/>
      <c r="F11" s="237"/>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4" t="s">
        <v>13</v>
      </c>
      <c r="F2" s="245"/>
      <c r="G2" s="45"/>
    </row>
    <row r="3" spans="1:7" s="51" customFormat="1">
      <c r="A3" s="47"/>
      <c r="B3" s="48"/>
      <c r="C3" s="151" t="str">
        <f xml:space="preserve"> IF(B3="","",setValueToTime(B3))</f>
        <v/>
      </c>
      <c r="D3" s="49"/>
      <c r="E3" s="240"/>
      <c r="F3" s="241"/>
      <c r="G3" s="50"/>
    </row>
    <row r="4" spans="1:7" s="51" customFormat="1">
      <c r="A4" s="52"/>
      <c r="B4" s="53"/>
      <c r="C4" s="152" t="str">
        <f t="shared" ref="C4:C10" si="0" xml:space="preserve"> IF(B4="","",setValueToTime(B4))</f>
        <v/>
      </c>
      <c r="D4" s="54"/>
      <c r="E4" s="232"/>
      <c r="F4" s="233"/>
      <c r="G4" s="50"/>
    </row>
    <row r="5" spans="1:7" s="51" customFormat="1">
      <c r="A5" s="52"/>
      <c r="B5" s="53"/>
      <c r="C5" s="152" t="str">
        <f t="shared" si="0"/>
        <v/>
      </c>
      <c r="D5" s="54"/>
      <c r="E5" s="232"/>
      <c r="F5" s="233"/>
      <c r="G5" s="50"/>
    </row>
    <row r="6" spans="1:7" s="51" customFormat="1">
      <c r="A6" s="52"/>
      <c r="B6" s="53"/>
      <c r="C6" s="152" t="str">
        <f t="shared" si="0"/>
        <v/>
      </c>
      <c r="D6" s="54"/>
      <c r="E6" s="232"/>
      <c r="F6" s="233"/>
      <c r="G6" s="50"/>
    </row>
    <row r="7" spans="1:7" s="51" customFormat="1">
      <c r="A7" s="53"/>
      <c r="B7" s="53"/>
      <c r="C7" s="153" t="str">
        <f t="shared" si="0"/>
        <v/>
      </c>
      <c r="D7" s="54"/>
      <c r="E7" s="232"/>
      <c r="F7" s="233"/>
      <c r="G7" s="50"/>
    </row>
    <row r="8" spans="1:7" s="51" customFormat="1">
      <c r="A8" s="53"/>
      <c r="B8" s="53"/>
      <c r="C8" s="153" t="str">
        <f t="shared" si="0"/>
        <v/>
      </c>
      <c r="D8" s="54"/>
      <c r="E8" s="232"/>
      <c r="F8" s="233"/>
      <c r="G8" s="50"/>
    </row>
    <row r="9" spans="1:7" s="51" customFormat="1">
      <c r="A9" s="53"/>
      <c r="B9" s="53"/>
      <c r="C9" s="153" t="str">
        <f t="shared" si="0"/>
        <v/>
      </c>
      <c r="D9" s="54"/>
      <c r="E9" s="232"/>
      <c r="F9" s="233"/>
      <c r="G9" s="50"/>
    </row>
    <row r="10" spans="1:7" s="51" customFormat="1" ht="15" thickBot="1">
      <c r="A10" s="55"/>
      <c r="B10" s="55"/>
      <c r="C10" s="154" t="str">
        <f t="shared" si="0"/>
        <v/>
      </c>
      <c r="D10" s="56"/>
      <c r="E10" s="234"/>
      <c r="F10" s="235"/>
      <c r="G10" s="50"/>
    </row>
    <row r="11" spans="1:7" s="51" customFormat="1" ht="15" thickBot="1">
      <c r="A11" s="161" t="s">
        <v>27</v>
      </c>
      <c r="B11" s="82">
        <f>SUM(B3:B10)</f>
        <v>0</v>
      </c>
      <c r="C11" s="161" t="str">
        <f xml:space="preserve"> setValueToTime(B11)</f>
        <v>0h</v>
      </c>
      <c r="D11" s="120"/>
      <c r="E11" s="242"/>
      <c r="F11" s="243"/>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2021-02-10T15:37:04Z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