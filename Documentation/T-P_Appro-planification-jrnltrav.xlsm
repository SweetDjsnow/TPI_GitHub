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8" i="12"/>
  <c r="B12" i="10"/>
  <c r="C11" i="10"/>
  <c r="C10" i="10"/>
  <c r="C9" i="10"/>
  <c r="C8" i="10"/>
  <c r="C7" i="10"/>
  <c r="C6" i="10"/>
  <c r="B24" i="10"/>
  <c r="C23" i="10"/>
  <c r="C22" i="10"/>
  <c r="C21" i="10"/>
  <c r="C20" i="10"/>
  <c r="C19" i="10"/>
  <c r="C18" i="10"/>
  <c r="C17" i="12"/>
  <c r="C16" i="12"/>
  <c r="C24" i="12"/>
  <c r="C17" i="10"/>
  <c r="C16" i="10"/>
  <c r="C5" i="10"/>
  <c r="C4" i="10"/>
  <c r="C12" i="10"/>
  <c r="C24" i="10"/>
  <c r="B36" i="12" l="1"/>
  <c r="C35" i="12"/>
  <c r="C34" i="12"/>
  <c r="C33" i="12"/>
  <c r="C32" i="12"/>
  <c r="C31" i="12"/>
  <c r="C30" i="12"/>
  <c r="C29" i="12"/>
  <c r="C28" i="12"/>
  <c r="C36" i="12"/>
  <c r="B48" i="12" l="1"/>
  <c r="C47" i="12"/>
  <c r="C46" i="12"/>
  <c r="C45" i="12"/>
  <c r="C44" i="12"/>
  <c r="C43" i="12"/>
  <c r="C42" i="12"/>
  <c r="C41" i="12"/>
  <c r="C40" i="12"/>
  <c r="C48" i="12"/>
  <c r="B36" i="10" l="1"/>
  <c r="C35" i="10"/>
  <c r="C34" i="10"/>
  <c r="C33" i="10"/>
  <c r="C32" i="10"/>
  <c r="C31" i="10"/>
  <c r="C30" i="10"/>
  <c r="B48" i="10"/>
  <c r="C47" i="10"/>
  <c r="C46" i="10"/>
  <c r="C45" i="10"/>
  <c r="C44" i="10"/>
  <c r="C43" i="10"/>
  <c r="C42" i="10"/>
  <c r="B60" i="10"/>
  <c r="C59" i="10"/>
  <c r="C58" i="10"/>
  <c r="C57" i="10"/>
  <c r="C56" i="10"/>
  <c r="C55" i="10"/>
  <c r="C54" i="10"/>
  <c r="B60" i="12"/>
  <c r="C59" i="12"/>
  <c r="C58" i="12"/>
  <c r="C57" i="12"/>
  <c r="C56" i="12"/>
  <c r="C55" i="12"/>
  <c r="C54" i="12"/>
  <c r="C53" i="12"/>
  <c r="C52" i="12"/>
  <c r="C60" i="12"/>
  <c r="C36" i="10"/>
  <c r="C48" i="10"/>
  <c r="C52" i="10"/>
  <c r="C28" i="10"/>
  <c r="C41" i="10"/>
  <c r="C60" i="10"/>
  <c r="C40" i="10"/>
  <c r="C29" i="10"/>
  <c r="C53" i="10"/>
  <c r="B72" i="12" l="1"/>
  <c r="C71" i="12"/>
  <c r="C70" i="12"/>
  <c r="C69" i="12"/>
  <c r="C68" i="12"/>
  <c r="C67" i="12"/>
  <c r="C66" i="12"/>
  <c r="B84" i="12"/>
  <c r="C83" i="12"/>
  <c r="C82" i="12"/>
  <c r="C81" i="12"/>
  <c r="C80" i="12"/>
  <c r="C79" i="12"/>
  <c r="C78" i="12"/>
  <c r="C65" i="12"/>
  <c r="C64" i="12"/>
  <c r="C72" i="12"/>
  <c r="C77" i="12"/>
  <c r="C76" i="12"/>
  <c r="C84" i="12"/>
  <c r="B96" i="12" l="1"/>
  <c r="C95" i="12"/>
  <c r="C94" i="12"/>
  <c r="C93" i="12"/>
  <c r="C92" i="12"/>
  <c r="C91" i="12"/>
  <c r="C90" i="12"/>
  <c r="C89" i="12"/>
  <c r="C88" i="12"/>
  <c r="C96" i="12"/>
  <c r="B108" i="12" l="1"/>
  <c r="C107" i="12"/>
  <c r="C106" i="12"/>
  <c r="C105" i="12"/>
  <c r="C104" i="12"/>
  <c r="C103" i="12"/>
  <c r="C102" i="12"/>
  <c r="B120" i="12"/>
  <c r="C119" i="12"/>
  <c r="C118" i="12"/>
  <c r="C117" i="12"/>
  <c r="C116" i="12"/>
  <c r="C115" i="12"/>
  <c r="B72" i="10"/>
  <c r="C71" i="10"/>
  <c r="C70" i="10"/>
  <c r="C69" i="10"/>
  <c r="C68" i="10"/>
  <c r="C67" i="10"/>
  <c r="C66" i="10"/>
  <c r="B84" i="10"/>
  <c r="C83" i="10"/>
  <c r="C82" i="10"/>
  <c r="C81" i="10"/>
  <c r="C80" i="10"/>
  <c r="C79" i="10"/>
  <c r="C78" i="10"/>
  <c r="B96" i="10"/>
  <c r="C95" i="10"/>
  <c r="C94" i="10"/>
  <c r="C93" i="10"/>
  <c r="C92" i="10"/>
  <c r="C91" i="10"/>
  <c r="C90" i="10"/>
  <c r="B108" i="10"/>
  <c r="C107" i="10"/>
  <c r="C106" i="10"/>
  <c r="C105" i="10"/>
  <c r="C104" i="10"/>
  <c r="C103" i="10"/>
  <c r="C102" i="10"/>
  <c r="C101" i="12"/>
  <c r="C100" i="12"/>
  <c r="C114" i="12"/>
  <c r="C113" i="12"/>
  <c r="C112" i="12"/>
  <c r="C108" i="12"/>
  <c r="C120" i="12"/>
  <c r="C65" i="10"/>
  <c r="C72" i="10"/>
  <c r="C84" i="10"/>
  <c r="C77" i="10"/>
  <c r="C64" i="10"/>
  <c r="C96" i="10"/>
  <c r="C76" i="10"/>
  <c r="C108" i="10"/>
  <c r="C88" i="10"/>
  <c r="C89" i="10"/>
  <c r="C101" i="10"/>
  <c r="C100" i="10"/>
  <c r="B120" i="10" l="1"/>
  <c r="C119" i="10"/>
  <c r="C118" i="10"/>
  <c r="C117" i="10"/>
  <c r="C116" i="10"/>
  <c r="C115" i="10"/>
  <c r="B132" i="10"/>
  <c r="C131" i="10"/>
  <c r="C130" i="10"/>
  <c r="C129" i="10"/>
  <c r="C128" i="10"/>
  <c r="C127" i="10"/>
  <c r="C126" i="10"/>
  <c r="B132" i="12"/>
  <c r="C131" i="12"/>
  <c r="C130" i="12"/>
  <c r="C129" i="12"/>
  <c r="C128" i="12"/>
  <c r="C127" i="12"/>
  <c r="C126" i="12"/>
  <c r="C125" i="12"/>
  <c r="C124" i="12"/>
  <c r="C132" i="12"/>
  <c r="C112" i="10"/>
  <c r="C125" i="10"/>
  <c r="C120" i="10"/>
  <c r="C124" i="10"/>
  <c r="C132" i="10"/>
  <c r="C114" i="10"/>
  <c r="C113" i="10"/>
  <c r="B144" i="12" l="1"/>
  <c r="C143" i="12"/>
  <c r="C142" i="12"/>
  <c r="C141" i="12"/>
  <c r="C140" i="12"/>
  <c r="C139" i="12"/>
  <c r="C138" i="12"/>
  <c r="B156" i="12"/>
  <c r="C155" i="12"/>
  <c r="C154" i="12"/>
  <c r="C153" i="12"/>
  <c r="C152" i="12"/>
  <c r="C151" i="12"/>
  <c r="C150" i="12"/>
  <c r="C137" i="12"/>
  <c r="C136" i="12"/>
  <c r="C144" i="12"/>
  <c r="C149" i="12"/>
  <c r="C148" i="12"/>
  <c r="C156" i="12"/>
  <c r="B168" i="12" l="1"/>
  <c r="C167" i="12"/>
  <c r="C166" i="12"/>
  <c r="C165" i="12"/>
  <c r="C164" i="12"/>
  <c r="C163" i="12"/>
  <c r="C162" i="12"/>
  <c r="B180" i="12"/>
  <c r="C179" i="12"/>
  <c r="C178" i="12"/>
  <c r="C177" i="12"/>
  <c r="C176" i="12"/>
  <c r="C175" i="12"/>
  <c r="C174" i="12"/>
  <c r="C161" i="12"/>
  <c r="C160" i="12"/>
  <c r="C168" i="12"/>
  <c r="C173" i="12"/>
  <c r="C172" i="12"/>
  <c r="C180" i="12"/>
  <c r="B192" i="12" l="1"/>
  <c r="C191" i="12"/>
  <c r="C190" i="12"/>
  <c r="C189" i="12"/>
  <c r="C188" i="12"/>
  <c r="C187" i="12"/>
  <c r="C186" i="12"/>
  <c r="C185" i="12"/>
  <c r="C184" i="12"/>
  <c r="C192" i="12"/>
  <c r="B204" i="12" l="1"/>
  <c r="C203" i="12"/>
  <c r="C202" i="12"/>
  <c r="C201" i="12"/>
  <c r="C200" i="12"/>
  <c r="C199" i="12"/>
  <c r="B144" i="10"/>
  <c r="C143" i="10"/>
  <c r="C142" i="10"/>
  <c r="C141" i="10"/>
  <c r="C140" i="10"/>
  <c r="C139" i="10"/>
  <c r="C138" i="10"/>
  <c r="B156" i="10"/>
  <c r="C155" i="10"/>
  <c r="C154" i="10"/>
  <c r="C153" i="10"/>
  <c r="C152" i="10"/>
  <c r="C151" i="10"/>
  <c r="C150" i="10"/>
  <c r="B168" i="10"/>
  <c r="C167" i="10"/>
  <c r="C166" i="10"/>
  <c r="C165" i="10"/>
  <c r="C164" i="10"/>
  <c r="C163" i="10"/>
  <c r="C162" i="10"/>
  <c r="B180" i="10"/>
  <c r="C179" i="10"/>
  <c r="C178" i="10"/>
  <c r="C177" i="10"/>
  <c r="C176" i="10"/>
  <c r="C175" i="10"/>
  <c r="C174" i="10"/>
  <c r="B192" i="10"/>
  <c r="C191" i="10"/>
  <c r="C190" i="10"/>
  <c r="C189" i="10"/>
  <c r="C188" i="10"/>
  <c r="C187" i="10"/>
  <c r="C186" i="10"/>
  <c r="B204" i="10"/>
  <c r="C203" i="10"/>
  <c r="C202" i="10"/>
  <c r="C201" i="10"/>
  <c r="C200" i="10"/>
  <c r="C199" i="10"/>
  <c r="C198" i="10"/>
  <c r="C197" i="10"/>
  <c r="B216" i="10"/>
  <c r="C215" i="10"/>
  <c r="C214" i="10"/>
  <c r="C213" i="10"/>
  <c r="C212" i="10"/>
  <c r="C211" i="10"/>
  <c r="C210" i="10"/>
  <c r="C209" i="10"/>
  <c r="B216" i="12"/>
  <c r="C215" i="12"/>
  <c r="C214" i="12"/>
  <c r="C213" i="12"/>
  <c r="C212" i="12"/>
  <c r="C211" i="12"/>
  <c r="C210" i="12"/>
  <c r="C209" i="12"/>
  <c r="C198" i="12"/>
  <c r="C197" i="12"/>
  <c r="C196" i="12"/>
  <c r="C204" i="12"/>
  <c r="C208" i="12"/>
  <c r="C216" i="12"/>
  <c r="C196" i="10"/>
  <c r="C168" i="10"/>
  <c r="C156" i="10"/>
  <c r="C204" i="10"/>
  <c r="C173" i="10"/>
  <c r="C148" i="10"/>
  <c r="C208" i="10"/>
  <c r="C172" i="10"/>
  <c r="C216" i="10"/>
  <c r="C137" i="10"/>
  <c r="C144" i="10"/>
  <c r="C184" i="10"/>
  <c r="C136" i="10"/>
  <c r="C160" i="10"/>
  <c r="C180" i="10"/>
  <c r="C192" i="10"/>
  <c r="C185" i="10"/>
  <c r="C161" i="10"/>
  <c r="C149" i="10"/>
  <c r="B228" i="12" l="1"/>
  <c r="C227" i="12"/>
  <c r="C226" i="12"/>
  <c r="C225" i="12"/>
  <c r="C224" i="12"/>
  <c r="C223" i="12"/>
  <c r="C222" i="12"/>
  <c r="C221" i="12"/>
  <c r="C220" i="12"/>
  <c r="C228" i="12"/>
  <c r="B240" i="12" l="1"/>
  <c r="C239" i="12"/>
  <c r="C238" i="12"/>
  <c r="C237" i="12"/>
  <c r="C236" i="12"/>
  <c r="C235" i="12"/>
  <c r="C234" i="12"/>
  <c r="C233" i="12"/>
  <c r="C232" i="12"/>
  <c r="C240" i="12"/>
  <c r="B252" i="12" l="1"/>
  <c r="C251" i="12"/>
  <c r="C250" i="12"/>
  <c r="C249" i="12"/>
  <c r="C248" i="12"/>
  <c r="C247" i="12"/>
  <c r="C246" i="12"/>
  <c r="C245" i="12"/>
  <c r="C244" i="12"/>
  <c r="C252" i="12"/>
  <c r="B264" i="12" l="1"/>
  <c r="C263" i="12"/>
  <c r="C262" i="12"/>
  <c r="C261" i="12"/>
  <c r="C260" i="12"/>
  <c r="C259" i="12"/>
  <c r="C258" i="12"/>
  <c r="C256" i="12"/>
  <c r="C257" i="12"/>
  <c r="C264" i="12"/>
  <c r="B276" i="12" l="1"/>
  <c r="C275" i="12"/>
  <c r="C274" i="12"/>
  <c r="C273" i="12"/>
  <c r="C272" i="12"/>
  <c r="C271" i="12"/>
  <c r="C270" i="12"/>
  <c r="B288" i="12"/>
  <c r="C287" i="12"/>
  <c r="C286" i="12"/>
  <c r="C285" i="12"/>
  <c r="C284" i="12"/>
  <c r="C283" i="12"/>
  <c r="B300" i="12"/>
  <c r="C299" i="12"/>
  <c r="C298" i="12"/>
  <c r="C297" i="12"/>
  <c r="C296" i="12"/>
  <c r="C281" i="12"/>
  <c r="C288" i="12"/>
  <c r="C276" i="12"/>
  <c r="C300" i="12"/>
  <c r="C269" i="12"/>
  <c r="C293" i="12"/>
  <c r="C280" i="12"/>
  <c r="C294" i="12"/>
  <c r="C295" i="12"/>
  <c r="C282" i="12"/>
  <c r="C292" i="12"/>
  <c r="C268" i="12"/>
  <c r="B228" i="10" l="1"/>
  <c r="C227" i="10"/>
  <c r="C226" i="10"/>
  <c r="C225" i="10"/>
  <c r="C224" i="10"/>
  <c r="C223" i="10"/>
  <c r="C222" i="10"/>
  <c r="B240" i="10"/>
  <c r="C239" i="10"/>
  <c r="C238" i="10"/>
  <c r="C237" i="10"/>
  <c r="C236" i="10"/>
  <c r="C235" i="10"/>
  <c r="C234" i="10"/>
  <c r="C233" i="10"/>
  <c r="B252" i="10"/>
  <c r="C251" i="10"/>
  <c r="C250" i="10"/>
  <c r="C249" i="10"/>
  <c r="C248" i="10"/>
  <c r="C247" i="10"/>
  <c r="B264" i="10"/>
  <c r="C263" i="10"/>
  <c r="C262" i="10"/>
  <c r="C261" i="10"/>
  <c r="C260" i="10"/>
  <c r="C259" i="10"/>
  <c r="C258" i="10"/>
  <c r="C257" i="10"/>
  <c r="B276" i="10"/>
  <c r="C275" i="10"/>
  <c r="C274" i="10"/>
  <c r="C273" i="10"/>
  <c r="C272" i="10"/>
  <c r="C271" i="10"/>
  <c r="B288" i="10"/>
  <c r="C287" i="10"/>
  <c r="C286" i="10"/>
  <c r="C285" i="10"/>
  <c r="C284" i="10"/>
  <c r="C283" i="10"/>
  <c r="C282" i="10"/>
  <c r="B300" i="10"/>
  <c r="C299" i="10"/>
  <c r="C298" i="10"/>
  <c r="C297" i="10"/>
  <c r="C296" i="10"/>
  <c r="C295" i="10"/>
  <c r="C294" i="10"/>
  <c r="C232" i="10"/>
  <c r="C245" i="10"/>
  <c r="C269" i="10"/>
  <c r="C228" i="10"/>
  <c r="C256" i="10"/>
  <c r="C270" i="10"/>
  <c r="C293" i="10"/>
  <c r="C252" i="10"/>
  <c r="C220" i="10"/>
  <c r="C292" i="10"/>
  <c r="C240" i="10"/>
  <c r="C264" i="10"/>
  <c r="C276" i="10"/>
  <c r="C221" i="10"/>
  <c r="C268" i="10"/>
  <c r="C246" i="10"/>
  <c r="C244" i="10"/>
  <c r="C300" i="10"/>
  <c r="C288" i="10"/>
  <c r="B312" i="12" l="1"/>
  <c r="C311" i="12"/>
  <c r="C310" i="12"/>
  <c r="C309" i="12"/>
  <c r="C308" i="12"/>
  <c r="C307" i="12"/>
  <c r="B324" i="12"/>
  <c r="C323" i="12"/>
  <c r="C322" i="12"/>
  <c r="C321" i="12"/>
  <c r="C320" i="12"/>
  <c r="C319" i="12"/>
  <c r="C318" i="12"/>
  <c r="C306" i="12"/>
  <c r="C316" i="12"/>
  <c r="C312" i="12"/>
  <c r="C324" i="12"/>
  <c r="C304" i="12"/>
  <c r="C317" i="12"/>
  <c r="C305" i="12"/>
  <c r="B336" i="12" l="1"/>
  <c r="C335" i="12"/>
  <c r="C334" i="12"/>
  <c r="C333" i="12"/>
  <c r="C332" i="12"/>
  <c r="C331" i="12"/>
  <c r="C330" i="12"/>
  <c r="C328" i="12"/>
  <c r="C329" i="12"/>
  <c r="C336" i="12"/>
  <c r="B348" i="12" l="1"/>
  <c r="C347" i="12"/>
  <c r="C346" i="12"/>
  <c r="C345" i="12"/>
  <c r="C344" i="12"/>
  <c r="C341" i="12"/>
  <c r="C348" i="12"/>
  <c r="C343" i="12"/>
  <c r="C342" i="12"/>
  <c r="C340" i="12"/>
  <c r="B312" i="10" l="1"/>
  <c r="C311" i="10"/>
  <c r="C310" i="10"/>
  <c r="C309" i="10"/>
  <c r="C308" i="10"/>
  <c r="C307" i="10"/>
  <c r="C306" i="10"/>
  <c r="B324" i="10"/>
  <c r="C323" i="10"/>
  <c r="C322" i="10"/>
  <c r="C321" i="10"/>
  <c r="C320" i="10"/>
  <c r="C319" i="10"/>
  <c r="C318" i="10"/>
  <c r="C317" i="10"/>
  <c r="B336" i="10"/>
  <c r="C335" i="10"/>
  <c r="C334" i="10"/>
  <c r="C333" i="10"/>
  <c r="C332" i="10"/>
  <c r="C331" i="10"/>
  <c r="B348" i="10"/>
  <c r="C347" i="10"/>
  <c r="C346" i="10"/>
  <c r="C345" i="10"/>
  <c r="C344" i="10"/>
  <c r="C329" i="10"/>
  <c r="C304" i="10"/>
  <c r="C324" i="10"/>
  <c r="C316" i="10"/>
  <c r="C328" i="10"/>
  <c r="C340" i="10"/>
  <c r="C341" i="10"/>
  <c r="C343" i="10"/>
  <c r="C336" i="10"/>
  <c r="C305" i="10"/>
  <c r="C312" i="10"/>
  <c r="C330" i="10"/>
  <c r="C342" i="10"/>
  <c r="C348" i="10"/>
  <c r="B360" i="12" l="1"/>
  <c r="C359" i="12"/>
  <c r="C358" i="12"/>
  <c r="C357" i="12"/>
  <c r="C356" i="12"/>
  <c r="C355" i="12"/>
  <c r="C354" i="12"/>
  <c r="B372" i="12"/>
  <c r="C371" i="12"/>
  <c r="C370" i="12"/>
  <c r="C369" i="12"/>
  <c r="B360" i="10"/>
  <c r="C359" i="10"/>
  <c r="C358" i="10"/>
  <c r="C357" i="10"/>
  <c r="C356" i="10"/>
  <c r="C355" i="10"/>
  <c r="C354" i="10"/>
  <c r="B372" i="10"/>
  <c r="C371" i="10"/>
  <c r="C370" i="10"/>
  <c r="C369" i="10"/>
  <c r="C352" i="12"/>
  <c r="C353" i="12"/>
  <c r="C368" i="12"/>
  <c r="C365" i="12"/>
  <c r="C366" i="12"/>
  <c r="C360" i="12"/>
  <c r="C372" i="12"/>
  <c r="C364" i="12"/>
  <c r="C367" i="12"/>
  <c r="C364" i="10"/>
  <c r="C367" i="10"/>
  <c r="C372" i="10"/>
  <c r="C366" i="10"/>
  <c r="C360" i="10"/>
  <c r="C365" i="10"/>
  <c r="C368" i="10"/>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<sst xmlns="http://schemas.openxmlformats.org/spreadsheetml/2006/main" count="1180" uniqueCount="204">
  <si>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</si>
  <si>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</si>
  <si>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</si>
  <si>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</si>
  <si>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</si>
  <si>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</si>
  <si>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</si>
  <si>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</si>
  <si>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</si>
  <si>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</si>
  <si>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</si>
  <si>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</si>
  <si>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</si>
  <si>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</si>
  <si>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</si>
  <si>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</si>
  <si>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</si>
  <si>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</si>
  <si>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</si>
  <si>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</si>
  <si>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</si>
  <si>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</si>
  <si>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</si>
  <si>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</si>
  <si>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</si>
  <si>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</si>
  <si>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</si>
  <si>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</si>
  <si>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</si>
  <si>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</si>
  <si>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</si>
  <si>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</si>
  <si>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</si>
  <si>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</si>
  <si>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</si>
  <si>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</si>
  <si>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</si>
  <si>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</si>
  <si>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</si>
  <si>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</si>
  <si>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</si>
  <si>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</si>
  <si>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</si>
  <si>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</si>
  <si>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</si>
  <si>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</si>
  <si>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</si>
  <si>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</si>
  <si>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</si>
  <si>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</si>
  <si>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</si>
  <si>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</si>
  <si>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</si>
  <si>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</si>
  <si>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</si>
  <si>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</si>
  <si>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</si>
  <si>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</si>
  <si>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</si>
  <si>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</si>
  <si>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</si>
  <si>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</si>
  <si>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</si>
  <si>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</si>
  <si>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</si>
  <si>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</si>
  <si>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</si>
  <si>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</si>
  <si>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</si>
  <si>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</si>
  <si>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</si>
  <si>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</si>
  <si>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</si>
  <si>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</si>
  <si>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</si>
  <si>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</si>
  <si>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</si>
  <si>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</si>
  <si>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</si>
  <si>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</si>
  <si>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</si>
  <si>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</si>
  <si>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</si>
  <si>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</si>
  <si>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</si>
  <si>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</si>
  <si>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</si>
  <si>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</si>
  <si>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</si>
  <si>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</si>
  <si>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</si>
  <si>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</si>
  <si>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</si>
  <si>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</si>
  <si>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</si>
  <si>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</si>
  <si>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</si>
  <si>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</si>
  <si>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</si>
  <si>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</si>
  <si>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</si>
  <si>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</si>
  <si>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</si>
  <si>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</si>
  <si>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</si>
  <si>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</si>
  <si>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</si>
  <si>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</si>
  <si>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</si>
  <si>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</si>
  <si>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</si>
  <si>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</si>
  <si>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</si>
  <si>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</si>
  <si>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</si>
  <si>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</si>
  <si>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</si>
  <si>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</si>
  <si>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</si>
  <si>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</si>
  <si>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</si>
  <si>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</si>
  <si>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</si>
  <si>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</si>
  <si>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</si>
  <si>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</si>
  <si>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</si>
  <si>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</si>
  <si>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</si>
  <si>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</si>
  <si>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</si>
  <si>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</si>
  <si>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</si>
  <si>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</si>
  <si>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</si>
  <si>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</si>
  <si>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</si>
  <si>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</si>
  <si>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</si>
  <si>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</si>
  <si>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</si>
  <si>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</si>
  <si>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</si>
  <si>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</si>
  <si>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</si>
  <si>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</si>
  <si>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</si>
  <si>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</si>
  <si>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</si>
  <si>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</si>
  <si>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</si>
  <si>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</si>
  <si>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</si>
  <si>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</si>
  <si>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</si>
  <si>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</si>
  <si>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</si>
  <si>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</si>
  <si>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</si>
  <si>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</si>
  <si>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</si>
  <si>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</si>
  <si>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</si>
  <si>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</si>
  <si>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</si>
  <si>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</si>
  <si>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</si>
  <si>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</si>
  <si>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</si>
  <si>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</si>
  <si>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</si>
  <si>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</si>
  <si>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</si>
  <si>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</si>
  <si>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</si>
  <si>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</si>
  <si>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</si>
  <si>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</si>
  <si>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</si>
  <si>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</si>
  <si>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</si>
  <si>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</si>
  <si>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</si>
  <si>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</si>
  <si>
    <t>vendredi, 19 février 2021</t>
  </si>
  <si>
    <t>Ecriture du code permettant de créer les donneurs et les receveurs ainsi que le code nécessaire pour rendre le vélo, lorsque l'utilisateur a choisi le donneur et receveur puis clique sur "rendre", le vélo est modifié dans la base de données en y insérant l'id du receveur / donneur puis en changeant le bool qui dit si le vélo a été rendu ou non. J'ai également modifié la page de détails pour que lorsque le vélo est rendu, le bouton "rendre" n'apparait plus. J'ai aussi commencer la modification de la page de résultats pour que l'utilisateur puisse modifier n'importe quel attribut du vélo en cliquant sur le lien "modifier". Pour le moment la page de modification n'a pas été créée ni tout le code php pour la modification.</t>
  </si>
  <si>
    <t>Création de la page de modification du vélo dans la DB, tous les attributs sont affichés dans des &lt;input&gt; de différents type pour que l'utilisateur puisse voir la valeur actuelle et la modifier si il le souhaite. J'ai perdu beaucoup de temps à faire la mise en page donc je n'ai pas encore le code php pour la modification dans la DB</t>
  </si>
  <si>
    <t>Commencer à coder le système de statistiques qui s'affichera sur la "main page"</t>
  </si>
  <si>
    <t>Terminer le système de statistique sur la page principale</t>
  </si>
  <si>
    <t>Remplir le rapport</t>
  </si>
  <si>
    <t>J'ai écrit le code PHP pour la modification du vélo dans la DB, l'utilisateur peut changer n'importe quel attribut (sauf l'ID du vélo) puis envoyer les changements à faire dans la DB.</t>
  </si>
  <si>
    <t>Il y'a eu des problèmes de design sur le site suite a quelques changements fait dans le CSS, j'ai donc passé un bon moment à régler tout cela</t>
  </si>
  <si>
    <t>mercredi, 3 mars 2021</t>
  </si>
  <si>
    <t>Création de l'option pour réinitialiser le receveur et le donneur ainsi que la date a lquelle a été rendu le vélo (et le bool qui définit que le vélo a été rendu). Pour cela j'ai dû rajouter une nouvelle ligne dans la table t_bikes de la base de données.</t>
  </si>
  <si>
    <t>J'ai commencer a préparer la page ou sera stocké les statistiques. J'ai cependant remarquer qu'il me manquait la date a laquelle le vélo a été rendu à son propriétaire, ce qui m'empêche de faires les statistiques demandées. J'ai donc rajouter la ligne nécessaire dans la table</t>
  </si>
  <si>
    <t>J'ai commencé à écrire le code pour calculer le nombre de vélos rendus/annoncés pour les trimestres, je ferais la même pour les statistiques sur l'année</t>
  </si>
  <si>
    <t>J'ai réglé des problèmes de CSS qui ont apparu suite à la modification de code dans le site</t>
  </si>
  <si>
    <t>Finition du design / css / etc… du site</t>
  </si>
  <si>
    <t>Remplir le rapport avec tous ce qui a été fait + faire les tests</t>
  </si>
  <si>
    <t>jeudi, 4 mars 2021</t>
  </si>
  <si>
    <t>Finis le code qui permet de récupérer le nombre de vélos rendus durant tous les trimestres de toutes les années et je l'affiche sur la main page</t>
  </si>
  <si>
    <t>J'ai mis en place les statistiques pour les différentes années sur la page principale</t>
  </si>
  <si>
    <t>J'ai dû régler différents bugs, par exemple avec l'upload de photos, lorsque les photos atteignent une certaine taille les fichiers ne passent pas et bizarrement la partie qui check la taille des fichiers n'arrive pas à détecter ça</t>
  </si>
  <si>
    <t>Le bouton pour insérer ne s'affiche plus quand un user non admin se connect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</si>
</sst>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0" fillId="0" borderId="11" xfId="0" applyFill="1" applyBorder="1"/>
    <xf numFmtId="0" fontId="2" fillId="0" borderId="0" xfId="0" applyFont="1" applyFill="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0" fillId="0" borderId="33"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6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201" t="s">
        <v>30</v>
      </c>
      <c r="C35" s="201"/>
      <c r="D35" s="201"/>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2" t="s">
        <v>31</v>
      </c>
      <c r="C37" s="202"/>
      <c r="D37" s="202"/>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RB99"/>
  <sheetViews>
    <sheetView showGridLines="0" topLeftCell="AEW10" zoomScale="55" zoomScaleNormal="55" zoomScaleSheetLayoutView="10" zoomScalePageLayoutView="10" workbookViewId="0">
      <selection activeCell="AIE20" sqref="AIE20"/>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146" ht="35.1" customHeight="1">
      <c r="B1" s="94"/>
      <c r="C1" s="233" t="s">
        <v>29</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14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14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14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14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14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146" ht="20.100000000000001" customHeight="1" thickBot="1">
      <c r="B7" s="95"/>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14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146" ht="30" customHeight="1">
      <c r="B9" s="95"/>
      <c r="C9" s="12" t="s">
        <v>16</v>
      </c>
      <c r="D9" s="140"/>
      <c r="E9" s="13" t="s">
        <v>20</v>
      </c>
      <c r="F9" s="14"/>
      <c r="G9" s="229" t="str">
        <f>E96</f>
        <v>253h30min</v>
      </c>
      <c r="H9" s="229"/>
      <c r="I9" s="229"/>
      <c r="J9" s="229"/>
      <c r="K9" s="229"/>
      <c r="L9" s="229"/>
      <c r="M9" s="229"/>
      <c r="N9" s="229"/>
      <c r="O9" s="229"/>
      <c r="P9" s="229"/>
      <c r="Q9" s="229"/>
      <c r="R9" s="229"/>
      <c r="S9" s="229"/>
      <c r="T9" s="229"/>
      <c r="U9" s="229"/>
      <c r="V9" s="118"/>
      <c r="W9" s="228" t="s">
        <v>21</v>
      </c>
      <c r="X9" s="228"/>
      <c r="Y9" s="228"/>
      <c r="Z9" s="228"/>
      <c r="AA9" s="228"/>
      <c r="AB9" s="228"/>
      <c r="AC9" s="228"/>
      <c r="AD9" s="228"/>
      <c r="AE9" s="228"/>
      <c r="AF9" s="228"/>
      <c r="AG9" s="228"/>
      <c r="AH9" s="229" t="str">
        <f>E98</f>
        <v>50h45min</v>
      </c>
      <c r="AI9" s="229"/>
      <c r="AJ9" s="229"/>
      <c r="AK9" s="229"/>
      <c r="AL9" s="229"/>
      <c r="AM9" s="229"/>
      <c r="AN9" s="229"/>
      <c r="AO9" s="229"/>
      <c r="AP9" s="229"/>
      <c r="AQ9" s="229"/>
      <c r="AR9" s="229"/>
      <c r="AS9" s="229"/>
      <c r="AT9" s="229"/>
      <c r="AU9" s="229"/>
      <c r="AV9" s="229"/>
      <c r="AW9" s="229"/>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14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91"/>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89"/>
    </row>
    <row r="11" spans="1:1146" ht="20.100000000000001" customHeight="1">
      <c r="B11" s="95"/>
      <c r="C11" s="231"/>
      <c r="D11" s="231"/>
      <c r="E11" s="231"/>
      <c r="F11" s="227" t="s">
        <v>71</v>
      </c>
      <c r="G11" s="227"/>
      <c r="H11" s="227"/>
      <c r="I11" s="227"/>
      <c r="J11" s="227"/>
      <c r="K11" s="227"/>
      <c r="L11" s="227"/>
      <c r="M11" s="227"/>
      <c r="N11" s="227"/>
      <c r="O11" s="227"/>
      <c r="P11" s="227"/>
      <c r="Q11" s="227"/>
      <c r="R11" s="227"/>
      <c r="S11" s="227"/>
      <c r="T11" s="227"/>
      <c r="U11" s="227"/>
      <c r="V11" s="227"/>
      <c r="W11" s="227"/>
      <c r="X11" s="227"/>
      <c r="Y11" s="227"/>
      <c r="Z11" s="227"/>
      <c r="AA11" s="227"/>
      <c r="AB11" s="227"/>
      <c r="AC11" s="227"/>
      <c r="AD11" s="227"/>
      <c r="AE11" s="227"/>
      <c r="AF11" s="227"/>
      <c r="AG11" s="227"/>
      <c r="AH11" s="227"/>
      <c r="AI11" s="227"/>
      <c r="AJ11" s="227"/>
      <c r="AK11" s="227"/>
      <c r="AL11" s="227"/>
      <c r="AM11" s="227"/>
      <c r="AN11" s="227"/>
      <c r="AO11" s="227"/>
      <c r="AP11" s="227"/>
      <c r="AQ11" s="227"/>
      <c r="AR11" s="227"/>
      <c r="AS11" s="227"/>
      <c r="AT11" s="227"/>
      <c r="AU11" s="227"/>
      <c r="AV11" s="227"/>
      <c r="AW11" s="227"/>
      <c r="AX11" s="227"/>
      <c r="AY11" s="227"/>
      <c r="AZ11" s="227"/>
      <c r="BA11" s="227"/>
      <c r="BB11" s="227"/>
      <c r="BC11" s="227"/>
      <c r="BD11" s="227"/>
      <c r="BE11" s="227"/>
      <c r="BF11" s="227"/>
      <c r="BG11" s="227"/>
      <c r="BH11" s="227"/>
      <c r="BI11" s="227"/>
      <c r="BJ11" s="227"/>
      <c r="BK11" s="227"/>
      <c r="BL11" s="227"/>
      <c r="BM11" s="227"/>
      <c r="BN11" s="227" t="s">
        <v>71</v>
      </c>
      <c r="BO11" s="227"/>
      <c r="BP11" s="227"/>
      <c r="BQ11" s="227"/>
      <c r="BR11" s="227"/>
      <c r="BS11" s="227"/>
      <c r="BT11" s="227"/>
      <c r="BU11" s="227"/>
      <c r="BV11" s="227"/>
      <c r="BW11" s="227"/>
      <c r="BX11" s="227"/>
      <c r="BY11" s="227"/>
      <c r="BZ11" s="227"/>
      <c r="CA11" s="227"/>
      <c r="CB11" s="227"/>
      <c r="CC11" s="227"/>
      <c r="CD11" s="227"/>
      <c r="CE11" s="227"/>
      <c r="CF11" s="227"/>
      <c r="CG11" s="227"/>
      <c r="CH11" s="227"/>
      <c r="CI11" s="227"/>
      <c r="CJ11" s="227"/>
      <c r="CK11" s="227"/>
      <c r="CL11" s="227"/>
      <c r="CM11" s="227"/>
      <c r="CN11" s="227"/>
      <c r="CO11" s="227"/>
      <c r="CP11" s="227"/>
      <c r="CQ11" s="227"/>
      <c r="CR11" s="227"/>
      <c r="CS11" s="227"/>
      <c r="CT11" s="227"/>
      <c r="CU11" s="227"/>
      <c r="CV11" s="227"/>
      <c r="CW11" s="227"/>
      <c r="CX11" s="227"/>
      <c r="CY11" s="227"/>
      <c r="CZ11" s="227"/>
      <c r="DA11" s="227"/>
      <c r="DB11" s="227"/>
      <c r="DC11" s="227"/>
      <c r="DD11" s="227"/>
      <c r="DE11" s="227"/>
      <c r="DF11" s="227"/>
      <c r="DG11" s="227"/>
      <c r="DH11" s="227"/>
      <c r="DI11" s="227"/>
      <c r="DJ11" s="227"/>
      <c r="DK11" s="227"/>
      <c r="DL11" s="227"/>
      <c r="DM11" s="227"/>
      <c r="DN11" s="227"/>
      <c r="DO11" s="227"/>
      <c r="DP11" s="227"/>
      <c r="DQ11" s="227"/>
      <c r="DR11" s="227"/>
      <c r="DS11" s="227"/>
      <c r="DT11" s="227"/>
      <c r="DU11" s="227"/>
      <c r="DV11" s="204" t="s">
        <v>97</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97</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104</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104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125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126</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126</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135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135</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138</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138</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159</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146</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146</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156</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156</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89" t="s">
        <v>153</v>
      </c>
      <c r="ARB11" s="3" t="s">
        <v>153</v>
      </c>
    </row>
    <row r="12" spans="1:1146" ht="15.75" customHeight="1" thickBot="1">
      <c r="B12" s="96"/>
      <c r="C12" s="232"/>
      <c r="D12" s="232"/>
      <c r="E12" s="232"/>
      <c r="F12" s="226" t="s">
        <v>74</v>
      </c>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c r="AL12" s="226"/>
      <c r="AM12" s="226"/>
      <c r="AN12" s="226"/>
      <c r="AO12" s="226"/>
      <c r="AP12" s="226"/>
      <c r="AQ12" s="226"/>
      <c r="AR12" s="226"/>
      <c r="AS12" s="226"/>
      <c r="AT12" s="226"/>
      <c r="AU12" s="226"/>
      <c r="AV12" s="226"/>
      <c r="AW12" s="226"/>
      <c r="AX12" s="226"/>
      <c r="AY12" s="226"/>
      <c r="AZ12" s="226"/>
      <c r="BA12" s="226"/>
      <c r="BB12" s="226"/>
      <c r="BC12" s="226"/>
      <c r="BD12" s="226"/>
      <c r="BE12" s="226"/>
      <c r="BF12" s="226"/>
      <c r="BG12" s="226"/>
      <c r="BH12" s="226"/>
      <c r="BI12" s="226"/>
      <c r="BJ12" s="226"/>
      <c r="BK12" s="226"/>
      <c r="BL12" s="226"/>
      <c r="BM12" s="226"/>
      <c r="BN12" s="226" t="s">
        <v>75</v>
      </c>
      <c r="BO12" s="226"/>
      <c r="BP12" s="226"/>
      <c r="BQ12" s="226"/>
      <c r="BR12" s="226"/>
      <c r="BS12" s="226"/>
      <c r="BT12" s="226"/>
      <c r="BU12" s="226"/>
      <c r="BV12" s="226"/>
      <c r="BW12" s="226"/>
      <c r="BX12" s="226"/>
      <c r="BY12" s="226"/>
      <c r="BZ12" s="226"/>
      <c r="CA12" s="226"/>
      <c r="CB12" s="226"/>
      <c r="CC12" s="226"/>
      <c r="CD12" s="226"/>
      <c r="CE12" s="226"/>
      <c r="CF12" s="226"/>
      <c r="CG12" s="226"/>
      <c r="CH12" s="226"/>
      <c r="CI12" s="226"/>
      <c r="CJ12" s="226"/>
      <c r="CK12" s="226"/>
      <c r="CL12" s="226"/>
      <c r="CM12" s="226"/>
      <c r="CN12" s="226"/>
      <c r="CO12" s="226"/>
      <c r="CP12" s="226"/>
      <c r="CQ12" s="226"/>
      <c r="CR12" s="226"/>
      <c r="CS12" s="226"/>
      <c r="CT12" s="226"/>
      <c r="CU12" s="226"/>
      <c r="CV12" s="226"/>
      <c r="CW12" s="226"/>
      <c r="CX12" s="226"/>
      <c r="CY12" s="226"/>
      <c r="CZ12" s="226"/>
      <c r="DA12" s="226"/>
      <c r="DB12" s="226"/>
      <c r="DC12" s="226"/>
      <c r="DD12" s="226"/>
      <c r="DE12" s="226"/>
      <c r="DF12" s="226"/>
      <c r="DG12" s="226"/>
      <c r="DH12" s="226"/>
      <c r="DI12" s="226"/>
      <c r="DJ12" s="226"/>
      <c r="DK12" s="226"/>
      <c r="DL12" s="226"/>
      <c r="DM12" s="226"/>
      <c r="DN12" s="226"/>
      <c r="DO12" s="226"/>
      <c r="DP12" s="226"/>
      <c r="DQ12" s="226"/>
      <c r="DR12" s="226"/>
      <c r="DS12" s="226"/>
      <c r="DT12" s="226"/>
      <c r="DU12" s="226"/>
      <c r="DV12" s="205" t="s">
        <v>86</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91</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86</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91</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74</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74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75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74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75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74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75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74</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74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75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74</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75</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89" t="s">
        <v>74</v>
      </c>
      <c r="ARB12" s="3" t="s">
        <v>75</v>
      </c>
    </row>
    <row r="13" spans="1:1146" ht="42.75" customHeight="1" thickBot="1">
      <c r="B13" s="95"/>
      <c r="C13" s="222" t="s">
        <v>6</v>
      </c>
      <c r="D13" s="143"/>
      <c r="E13" s="224" t="s">
        <v>37</v>
      </c>
      <c r="F13" s="206" t="s">
        <v>7</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43</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42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41</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40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39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49</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48</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47</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46</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45</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44</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67</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158</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157</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155</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89" t="s">
        <v>154</v>
      </c>
      <c r="ARB13" s="3" t="s">
        <v>152</v>
      </c>
    </row>
    <row r="14" spans="1:1146" ht="12.75" customHeight="1" thickBot="1">
      <c r="B14" s="95"/>
      <c r="C14" s="223"/>
      <c r="D14" s="144"/>
      <c r="E14" s="225"/>
      <c r="F14" s="102"/>
      <c r="G14" s="103"/>
      <c r="H14" s="103"/>
      <c r="I14" s="103"/>
      <c r="J14" s="209" t="s">
        <v>32</v>
      </c>
      <c r="K14" s="209"/>
      <c r="L14" s="209"/>
      <c r="M14" s="209"/>
      <c r="N14" s="103"/>
      <c r="O14" s="103"/>
      <c r="P14" s="210" t="s">
        <v>22</v>
      </c>
      <c r="Q14" s="210"/>
      <c r="R14" s="210"/>
      <c r="S14" s="210"/>
      <c r="T14" s="128"/>
      <c r="U14" s="128"/>
      <c r="V14" s="209" t="s">
        <v>33</v>
      </c>
      <c r="W14" s="209"/>
      <c r="X14" s="209"/>
      <c r="Y14" s="209"/>
      <c r="Z14" s="103"/>
      <c r="AA14" s="103"/>
      <c r="AB14" s="210" t="s">
        <v>23</v>
      </c>
      <c r="AC14" s="210"/>
      <c r="AD14" s="210"/>
      <c r="AE14" s="210"/>
      <c r="AF14" s="128"/>
      <c r="AG14" s="128"/>
      <c r="AH14" s="209" t="s">
        <v>34</v>
      </c>
      <c r="AI14" s="209"/>
      <c r="AJ14" s="209"/>
      <c r="AK14" s="209"/>
      <c r="AL14" s="103"/>
      <c r="AM14" s="103"/>
      <c r="AN14" s="210" t="s">
        <v>24</v>
      </c>
      <c r="AO14" s="210"/>
      <c r="AP14" s="210"/>
      <c r="AQ14" s="210"/>
      <c r="AR14" s="128"/>
      <c r="AS14" s="128"/>
      <c r="AT14" s="209" t="s">
        <v>35</v>
      </c>
      <c r="AU14" s="209"/>
      <c r="AV14" s="209"/>
      <c r="AW14" s="209"/>
      <c r="AX14" s="103"/>
      <c r="AY14" s="103"/>
      <c r="AZ14" s="210" t="s">
        <v>25</v>
      </c>
      <c r="BA14" s="210"/>
      <c r="BB14" s="210"/>
      <c r="BC14" s="210"/>
      <c r="BD14" s="128"/>
      <c r="BE14" s="128"/>
      <c r="BF14" s="209" t="s">
        <v>36</v>
      </c>
      <c r="BG14" s="209"/>
      <c r="BH14" s="209"/>
      <c r="BI14" s="209"/>
      <c r="BJ14" s="103"/>
      <c r="BK14" s="103"/>
      <c r="BL14" s="103"/>
      <c r="BM14" s="104"/>
      <c r="BN14" s="102"/>
      <c r="BO14" s="103"/>
      <c r="BP14" s="103"/>
      <c r="BQ14" s="103"/>
      <c r="BR14" s="209" t="s">
        <v>32</v>
      </c>
      <c r="BS14" s="209"/>
      <c r="BT14" s="209"/>
      <c r="BU14" s="209"/>
      <c r="BV14" s="103"/>
      <c r="BW14" s="103"/>
      <c r="BX14" s="210" t="s">
        <v>22</v>
      </c>
      <c r="BY14" s="210"/>
      <c r="BZ14" s="210"/>
      <c r="CA14" s="210"/>
      <c r="CB14" s="128"/>
      <c r="CC14" s="128"/>
      <c r="CD14" s="209" t="s">
        <v>33</v>
      </c>
      <c r="CE14" s="209"/>
      <c r="CF14" s="209"/>
      <c r="CG14" s="209"/>
      <c r="CH14" s="103"/>
      <c r="CI14" s="103"/>
      <c r="CJ14" s="210" t="s">
        <v>23</v>
      </c>
      <c r="CK14" s="210"/>
      <c r="CL14" s="210"/>
      <c r="CM14" s="210"/>
      <c r="CN14" s="128"/>
      <c r="CO14" s="128"/>
      <c r="CP14" s="209" t="s">
        <v>34</v>
      </c>
      <c r="CQ14" s="209"/>
      <c r="CR14" s="209"/>
      <c r="CS14" s="209"/>
      <c r="CT14" s="103"/>
      <c r="CU14" s="103"/>
      <c r="CV14" s="210" t="s">
        <v>24</v>
      </c>
      <c r="CW14" s="210"/>
      <c r="CX14" s="210"/>
      <c r="CY14" s="210"/>
      <c r="CZ14" s="128"/>
      <c r="DA14" s="128"/>
      <c r="DB14" s="209" t="s">
        <v>35</v>
      </c>
      <c r="DC14" s="209"/>
      <c r="DD14" s="209"/>
      <c r="DE14" s="209"/>
      <c r="DF14" s="103"/>
      <c r="DG14" s="103"/>
      <c r="DH14" s="210" t="s">
        <v>25</v>
      </c>
      <c r="DI14" s="210"/>
      <c r="DJ14" s="210"/>
      <c r="DK14" s="210"/>
      <c r="DL14" s="128"/>
      <c r="DM14" s="128"/>
      <c r="DN14" s="209" t="s">
        <v>36</v>
      </c>
      <c r="DO14" s="209"/>
      <c r="DP14" s="209"/>
      <c r="DQ14" s="209"/>
      <c r="DR14" s="103"/>
      <c r="DS14" s="103"/>
      <c r="DT14" s="103"/>
      <c r="DU14" s="104"/>
      <c r="DV14" s="102"/>
      <c r="DW14" s="103"/>
      <c r="DX14" s="103"/>
      <c r="DY14" s="103"/>
      <c r="DZ14" s="209" t="s">
        <v>32</v>
      </c>
      <c r="EA14" s="209"/>
      <c r="EB14" s="209"/>
      <c r="EC14" s="209"/>
      <c r="ED14" s="103"/>
      <c r="EE14" s="103"/>
      <c r="EF14" s="210" t="s">
        <v>22</v>
      </c>
      <c r="EG14" s="210"/>
      <c r="EH14" s="210"/>
      <c r="EI14" s="210"/>
      <c r="EJ14" s="128"/>
      <c r="EK14" s="128"/>
      <c r="EL14" s="209" t="s">
        <v>33</v>
      </c>
      <c r="EM14" s="209"/>
      <c r="EN14" s="209"/>
      <c r="EO14" s="209"/>
      <c r="EP14" s="103"/>
      <c r="EQ14" s="103"/>
      <c r="ER14" s="210" t="s">
        <v>23</v>
      </c>
      <c r="ES14" s="210"/>
      <c r="ET14" s="210"/>
      <c r="EU14" s="210"/>
      <c r="EV14" s="128"/>
      <c r="EW14" s="128"/>
      <c r="EX14" s="209" t="s">
        <v>34</v>
      </c>
      <c r="EY14" s="209"/>
      <c r="EZ14" s="209"/>
      <c r="FA14" s="209"/>
      <c r="FB14" s="103"/>
      <c r="FC14" s="103"/>
      <c r="FD14" s="210" t="s">
        <v>24</v>
      </c>
      <c r="FE14" s="210"/>
      <c r="FF14" s="210"/>
      <c r="FG14" s="210"/>
      <c r="FH14" s="128"/>
      <c r="FI14" s="128"/>
      <c r="FJ14" s="209" t="s">
        <v>35</v>
      </c>
      <c r="FK14" s="209"/>
      <c r="FL14" s="209"/>
      <c r="FM14" s="209"/>
      <c r="FN14" s="103"/>
      <c r="FO14" s="103"/>
      <c r="FP14" s="210" t="s">
        <v>25</v>
      </c>
      <c r="FQ14" s="210"/>
      <c r="FR14" s="210"/>
      <c r="FS14" s="210"/>
      <c r="FT14" s="128"/>
      <c r="FU14" s="128"/>
      <c r="FV14" s="209" t="s">
        <v>36</v>
      </c>
      <c r="FW14" s="209"/>
      <c r="FX14" s="209"/>
      <c r="FY14" s="209"/>
      <c r="FZ14" s="103"/>
      <c r="GA14" s="103"/>
      <c r="GB14" s="103"/>
      <c r="GC14" s="104"/>
      <c r="GD14" s="102"/>
      <c r="GE14" s="103"/>
      <c r="GF14" s="103"/>
      <c r="GG14" s="103"/>
      <c r="GH14" s="209" t="s">
        <v>32</v>
      </c>
      <c r="GI14" s="209"/>
      <c r="GJ14" s="209"/>
      <c r="GK14" s="209"/>
      <c r="GL14" s="103"/>
      <c r="GM14" s="103"/>
      <c r="GN14" s="210" t="s">
        <v>22</v>
      </c>
      <c r="GO14" s="210"/>
      <c r="GP14" s="210"/>
      <c r="GQ14" s="210"/>
      <c r="GR14" s="128"/>
      <c r="GS14" s="128"/>
      <c r="GT14" s="209" t="s">
        <v>33</v>
      </c>
      <c r="GU14" s="209"/>
      <c r="GV14" s="209"/>
      <c r="GW14" s="209"/>
      <c r="GX14" s="103"/>
      <c r="GY14" s="103"/>
      <c r="GZ14" s="210" t="s">
        <v>23</v>
      </c>
      <c r="HA14" s="210"/>
      <c r="HB14" s="210"/>
      <c r="HC14" s="210"/>
      <c r="HD14" s="128"/>
      <c r="HE14" s="128"/>
      <c r="HF14" s="209" t="s">
        <v>34</v>
      </c>
      <c r="HG14" s="209"/>
      <c r="HH14" s="209"/>
      <c r="HI14" s="209"/>
      <c r="HJ14" s="103"/>
      <c r="HK14" s="103"/>
      <c r="HL14" s="210" t="s">
        <v>24</v>
      </c>
      <c r="HM14" s="210"/>
      <c r="HN14" s="210"/>
      <c r="HO14" s="210"/>
      <c r="HP14" s="128"/>
      <c r="HQ14" s="128"/>
      <c r="HR14" s="209" t="s">
        <v>35</v>
      </c>
      <c r="HS14" s="209"/>
      <c r="HT14" s="209"/>
      <c r="HU14" s="209"/>
      <c r="HV14" s="103"/>
      <c r="HW14" s="103"/>
      <c r="HX14" s="210" t="s">
        <v>25</v>
      </c>
      <c r="HY14" s="210"/>
      <c r="HZ14" s="210"/>
      <c r="IA14" s="210"/>
      <c r="IB14" s="128"/>
      <c r="IC14" s="128"/>
      <c r="ID14" s="209" t="s">
        <v>36</v>
      </c>
      <c r="IE14" s="209"/>
      <c r="IF14" s="209"/>
      <c r="IG14" s="209"/>
      <c r="IH14" s="103"/>
      <c r="II14" s="103"/>
      <c r="IJ14" s="103"/>
      <c r="IK14" s="104"/>
      <c r="IL14" s="102"/>
      <c r="IM14" s="103"/>
      <c r="IN14" s="103"/>
      <c r="IO14" s="103"/>
      <c r="IP14" s="209" t="s">
        <v>32</v>
      </c>
      <c r="IQ14" s="209"/>
      <c r="IR14" s="209"/>
      <c r="IS14" s="209"/>
      <c r="IT14" s="103"/>
      <c r="IU14" s="103"/>
      <c r="IV14" s="210" t="s">
        <v>22</v>
      </c>
      <c r="IW14" s="210"/>
      <c r="IX14" s="210"/>
      <c r="IY14" s="210"/>
      <c r="IZ14" s="128"/>
      <c r="JA14" s="128"/>
      <c r="JB14" s="209" t="s">
        <v>33</v>
      </c>
      <c r="JC14" s="209"/>
      <c r="JD14" s="209"/>
      <c r="JE14" s="209"/>
      <c r="JF14" s="103"/>
      <c r="JG14" s="103"/>
      <c r="JH14" s="210" t="s">
        <v>23</v>
      </c>
      <c r="JI14" s="210"/>
      <c r="JJ14" s="210"/>
      <c r="JK14" s="210"/>
      <c r="JL14" s="128"/>
      <c r="JM14" s="128"/>
      <c r="JN14" s="209" t="s">
        <v>34</v>
      </c>
      <c r="JO14" s="209"/>
      <c r="JP14" s="209"/>
      <c r="JQ14" s="209"/>
      <c r="JR14" s="103"/>
      <c r="JS14" s="103"/>
      <c r="JT14" s="210" t="s">
        <v>24</v>
      </c>
      <c r="JU14" s="210"/>
      <c r="JV14" s="210"/>
      <c r="JW14" s="210"/>
      <c r="JX14" s="128"/>
      <c r="JY14" s="128"/>
      <c r="JZ14" s="209" t="s">
        <v>35</v>
      </c>
      <c r="KA14" s="209"/>
      <c r="KB14" s="209"/>
      <c r="KC14" s="209"/>
      <c r="KD14" s="103"/>
      <c r="KE14" s="103"/>
      <c r="KF14" s="210" t="s">
        <v>25</v>
      </c>
      <c r="KG14" s="210"/>
      <c r="KH14" s="210"/>
      <c r="KI14" s="210"/>
      <c r="KJ14" s="128"/>
      <c r="KK14" s="128"/>
      <c r="KL14" s="209" t="s">
        <v>36</v>
      </c>
      <c r="KM14" s="209"/>
      <c r="KN14" s="209"/>
      <c r="KO14" s="209"/>
      <c r="KP14" s="103"/>
      <c r="KQ14" s="103"/>
      <c r="KR14" s="103"/>
      <c r="KS14" s="104"/>
      <c r="KT14" s="102"/>
      <c r="KU14" s="103"/>
      <c r="KV14" s="103"/>
      <c r="KW14" s="103"/>
      <c r="KX14" s="209" t="s">
        <v>32</v>
      </c>
      <c r="KY14" s="209"/>
      <c r="KZ14" s="209"/>
      <c r="LA14" s="209"/>
      <c r="LB14" s="103"/>
      <c r="LC14" s="103"/>
      <c r="LD14" s="210" t="s">
        <v>22</v>
      </c>
      <c r="LE14" s="210"/>
      <c r="LF14" s="210"/>
      <c r="LG14" s="210"/>
      <c r="LH14" s="128"/>
      <c r="LI14" s="128"/>
      <c r="LJ14" s="209" t="s">
        <v>33</v>
      </c>
      <c r="LK14" s="209"/>
      <c r="LL14" s="209"/>
      <c r="LM14" s="209"/>
      <c r="LN14" s="103"/>
      <c r="LO14" s="103"/>
      <c r="LP14" s="210" t="s">
        <v>23</v>
      </c>
      <c r="LQ14" s="210"/>
      <c r="LR14" s="210"/>
      <c r="LS14" s="210"/>
      <c r="LT14" s="128"/>
      <c r="LU14" s="128"/>
      <c r="LV14" s="209" t="s">
        <v>34</v>
      </c>
      <c r="LW14" s="209"/>
      <c r="LX14" s="209"/>
      <c r="LY14" s="209"/>
      <c r="LZ14" s="103"/>
      <c r="MA14" s="103"/>
      <c r="MB14" s="210" t="s">
        <v>24</v>
      </c>
      <c r="MC14" s="210"/>
      <c r="MD14" s="210"/>
      <c r="ME14" s="210"/>
      <c r="MF14" s="128"/>
      <c r="MG14" s="128"/>
      <c r="MH14" s="209" t="s">
        <v>35</v>
      </c>
      <c r="MI14" s="209"/>
      <c r="MJ14" s="209"/>
      <c r="MK14" s="209"/>
      <c r="ML14" s="103"/>
      <c r="MM14" s="103"/>
      <c r="MN14" s="210" t="s">
        <v>25</v>
      </c>
      <c r="MO14" s="210"/>
      <c r="MP14" s="210"/>
      <c r="MQ14" s="210"/>
      <c r="MR14" s="128"/>
      <c r="MS14" s="128"/>
      <c r="MT14" s="209" t="s">
        <v>36</v>
      </c>
      <c r="MU14" s="209"/>
      <c r="MV14" s="209"/>
      <c r="MW14" s="209"/>
      <c r="MX14" s="103"/>
      <c r="MY14" s="103"/>
      <c r="MZ14" s="103"/>
      <c r="NA14" s="104"/>
      <c r="NB14" s="102"/>
      <c r="NC14" s="103"/>
      <c r="ND14" s="103"/>
      <c r="NE14" s="103"/>
      <c r="NF14" s="209" t="s">
        <v>32</v>
      </c>
      <c r="NG14" s="209"/>
      <c r="NH14" s="209"/>
      <c r="NI14" s="209"/>
      <c r="NJ14" s="103"/>
      <c r="NK14" s="103"/>
      <c r="NL14" s="210" t="s">
        <v>22</v>
      </c>
      <c r="NM14" s="210"/>
      <c r="NN14" s="210"/>
      <c r="NO14" s="210"/>
      <c r="NP14" s="128"/>
      <c r="NQ14" s="128"/>
      <c r="NR14" s="209" t="s">
        <v>33</v>
      </c>
      <c r="NS14" s="209"/>
      <c r="NT14" s="209"/>
      <c r="NU14" s="209"/>
      <c r="NV14" s="103"/>
      <c r="NW14" s="103"/>
      <c r="NX14" s="210" t="s">
        <v>23</v>
      </c>
      <c r="NY14" s="210"/>
      <c r="NZ14" s="210"/>
      <c r="OA14" s="210"/>
      <c r="OB14" s="128"/>
      <c r="OC14" s="128"/>
      <c r="OD14" s="209" t="s">
        <v>34</v>
      </c>
      <c r="OE14" s="209"/>
      <c r="OF14" s="209"/>
      <c r="OG14" s="209"/>
      <c r="OH14" s="103"/>
      <c r="OI14" s="103"/>
      <c r="OJ14" s="210" t="s">
        <v>24</v>
      </c>
      <c r="OK14" s="210"/>
      <c r="OL14" s="210"/>
      <c r="OM14" s="210"/>
      <c r="ON14" s="128"/>
      <c r="OO14" s="128"/>
      <c r="OP14" s="209" t="s">
        <v>35</v>
      </c>
      <c r="OQ14" s="209"/>
      <c r="OR14" s="209"/>
      <c r="OS14" s="209"/>
      <c r="OT14" s="103"/>
      <c r="OU14" s="103"/>
      <c r="OV14" s="210" t="s">
        <v>25</v>
      </c>
      <c r="OW14" s="210"/>
      <c r="OX14" s="210"/>
      <c r="OY14" s="210"/>
      <c r="OZ14" s="128"/>
      <c r="PA14" s="128"/>
      <c r="PB14" s="209" t="s">
        <v>36</v>
      </c>
      <c r="PC14" s="209"/>
      <c r="PD14" s="209"/>
      <c r="PE14" s="209"/>
      <c r="PF14" s="103"/>
      <c r="PG14" s="103"/>
      <c r="PH14" s="103"/>
      <c r="PI14" s="104"/>
      <c r="PJ14" s="102"/>
      <c r="PK14" s="103"/>
      <c r="PL14" s="103"/>
      <c r="PM14" s="103"/>
      <c r="PN14" s="209" t="s">
        <v>32</v>
      </c>
      <c r="PO14" s="209"/>
      <c r="PP14" s="209"/>
      <c r="PQ14" s="209"/>
      <c r="PR14" s="103"/>
      <c r="PS14" s="103"/>
      <c r="PT14" s="210" t="s">
        <v>22</v>
      </c>
      <c r="PU14" s="210"/>
      <c r="PV14" s="210"/>
      <c r="PW14" s="210"/>
      <c r="PX14" s="128"/>
      <c r="PY14" s="128"/>
      <c r="PZ14" s="209" t="s">
        <v>33</v>
      </c>
      <c r="QA14" s="209"/>
      <c r="QB14" s="209"/>
      <c r="QC14" s="209"/>
      <c r="QD14" s="103"/>
      <c r="QE14" s="103"/>
      <c r="QF14" s="210" t="s">
        <v>23</v>
      </c>
      <c r="QG14" s="210"/>
      <c r="QH14" s="210"/>
      <c r="QI14" s="210"/>
      <c r="QJ14" s="128"/>
      <c r="QK14" s="128"/>
      <c r="QL14" s="209" t="s">
        <v>34</v>
      </c>
      <c r="QM14" s="209"/>
      <c r="QN14" s="209"/>
      <c r="QO14" s="209"/>
      <c r="QP14" s="103"/>
      <c r="QQ14" s="103"/>
      <c r="QR14" s="210" t="s">
        <v>24</v>
      </c>
      <c r="QS14" s="210"/>
      <c r="QT14" s="210"/>
      <c r="QU14" s="210"/>
      <c r="QV14" s="128"/>
      <c r="QW14" s="128"/>
      <c r="QX14" s="209" t="s">
        <v>35</v>
      </c>
      <c r="QY14" s="209"/>
      <c r="QZ14" s="209"/>
      <c r="RA14" s="209"/>
      <c r="RB14" s="103"/>
      <c r="RC14" s="103"/>
      <c r="RD14" s="210" t="s">
        <v>25</v>
      </c>
      <c r="RE14" s="210"/>
      <c r="RF14" s="210"/>
      <c r="RG14" s="210"/>
      <c r="RH14" s="128"/>
      <c r="RI14" s="128"/>
      <c r="RJ14" s="209" t="s">
        <v>36</v>
      </c>
      <c r="RK14" s="209"/>
      <c r="RL14" s="209"/>
      <c r="RM14" s="209"/>
      <c r="RN14" s="103"/>
      <c r="RO14" s="103"/>
      <c r="RP14" s="103"/>
      <c r="RQ14" s="104"/>
      <c r="RR14" s="102"/>
      <c r="RS14" s="103"/>
      <c r="RT14" s="103"/>
      <c r="RU14" s="103"/>
      <c r="RV14" s="209" t="s">
        <v>32</v>
      </c>
      <c r="RW14" s="209"/>
      <c r="RX14" s="209"/>
      <c r="RY14" s="209"/>
      <c r="RZ14" s="103"/>
      <c r="SA14" s="103"/>
      <c r="SB14" s="210" t="s">
        <v>22</v>
      </c>
      <c r="SC14" s="210"/>
      <c r="SD14" s="210"/>
      <c r="SE14" s="210"/>
      <c r="SF14" s="128"/>
      <c r="SG14" s="128"/>
      <c r="SH14" s="209" t="s">
        <v>33</v>
      </c>
      <c r="SI14" s="209"/>
      <c r="SJ14" s="209"/>
      <c r="SK14" s="209"/>
      <c r="SL14" s="103"/>
      <c r="SM14" s="103"/>
      <c r="SN14" s="210" t="s">
        <v>23</v>
      </c>
      <c r="SO14" s="210"/>
      <c r="SP14" s="210"/>
      <c r="SQ14" s="210"/>
      <c r="SR14" s="128"/>
      <c r="SS14" s="128"/>
      <c r="ST14" s="209" t="s">
        <v>34</v>
      </c>
      <c r="SU14" s="209"/>
      <c r="SV14" s="209"/>
      <c r="SW14" s="209"/>
      <c r="SX14" s="103"/>
      <c r="SY14" s="103"/>
      <c r="SZ14" s="210" t="s">
        <v>24</v>
      </c>
      <c r="TA14" s="210"/>
      <c r="TB14" s="210"/>
      <c r="TC14" s="210"/>
      <c r="TD14" s="128"/>
      <c r="TE14" s="128"/>
      <c r="TF14" s="209" t="s">
        <v>35</v>
      </c>
      <c r="TG14" s="209"/>
      <c r="TH14" s="209"/>
      <c r="TI14" s="209"/>
      <c r="TJ14" s="103"/>
      <c r="TK14" s="103"/>
      <c r="TL14" s="210" t="s">
        <v>25</v>
      </c>
      <c r="TM14" s="210"/>
      <c r="TN14" s="210"/>
      <c r="TO14" s="210"/>
      <c r="TP14" s="128"/>
      <c r="TQ14" s="128"/>
      <c r="TR14" s="209" t="s">
        <v>36</v>
      </c>
      <c r="TS14" s="209"/>
      <c r="TT14" s="209"/>
      <c r="TU14" s="209"/>
      <c r="TV14" s="103"/>
      <c r="TW14" s="103"/>
      <c r="TX14" s="103"/>
      <c r="TY14" s="104"/>
      <c r="TZ14" s="102"/>
      <c r="UA14" s="103"/>
      <c r="UB14" s="103"/>
      <c r="UC14" s="103"/>
      <c r="UD14" s="209" t="s">
        <v>32</v>
      </c>
      <c r="UE14" s="209"/>
      <c r="UF14" s="209"/>
      <c r="UG14" s="209"/>
      <c r="UH14" s="103"/>
      <c r="UI14" s="103"/>
      <c r="UJ14" s="210" t="s">
        <v>22</v>
      </c>
      <c r="UK14" s="210"/>
      <c r="UL14" s="210"/>
      <c r="UM14" s="210"/>
      <c r="UN14" s="128"/>
      <c r="UO14" s="128"/>
      <c r="UP14" s="209" t="s">
        <v>33</v>
      </c>
      <c r="UQ14" s="209"/>
      <c r="UR14" s="209"/>
      <c r="US14" s="209"/>
      <c r="UT14" s="103"/>
      <c r="UU14" s="103"/>
      <c r="UV14" s="210" t="s">
        <v>23</v>
      </c>
      <c r="UW14" s="210"/>
      <c r="UX14" s="210"/>
      <c r="UY14" s="210"/>
      <c r="UZ14" s="128"/>
      <c r="VA14" s="128"/>
      <c r="VB14" s="209" t="s">
        <v>34</v>
      </c>
      <c r="VC14" s="209"/>
      <c r="VD14" s="209"/>
      <c r="VE14" s="209"/>
      <c r="VF14" s="103"/>
      <c r="VG14" s="103"/>
      <c r="VH14" s="210" t="s">
        <v>24</v>
      </c>
      <c r="VI14" s="210"/>
      <c r="VJ14" s="210"/>
      <c r="VK14" s="210"/>
      <c r="VL14" s="128"/>
      <c r="VM14" s="128"/>
      <c r="VN14" s="209" t="s">
        <v>35</v>
      </c>
      <c r="VO14" s="209"/>
      <c r="VP14" s="209"/>
      <c r="VQ14" s="209"/>
      <c r="VR14" s="103"/>
      <c r="VS14" s="103"/>
      <c r="VT14" s="210" t="s">
        <v>25</v>
      </c>
      <c r="VU14" s="210"/>
      <c r="VV14" s="210"/>
      <c r="VW14" s="210"/>
      <c r="VX14" s="128"/>
      <c r="VY14" s="128"/>
      <c r="VZ14" s="209" t="s">
        <v>36</v>
      </c>
      <c r="WA14" s="209"/>
      <c r="WB14" s="209"/>
      <c r="WC14" s="209"/>
      <c r="WD14" s="103"/>
      <c r="WE14" s="103"/>
      <c r="WF14" s="103"/>
      <c r="WG14" s="104"/>
      <c r="WH14" s="102"/>
      <c r="WI14" s="103"/>
      <c r="WJ14" s="103"/>
      <c r="WK14" s="103"/>
      <c r="WL14" s="209" t="s">
        <v>32</v>
      </c>
      <c r="WM14" s="209"/>
      <c r="WN14" s="209"/>
      <c r="WO14" s="209"/>
      <c r="WP14" s="103"/>
      <c r="WQ14" s="103"/>
      <c r="WR14" s="210" t="s">
        <v>22</v>
      </c>
      <c r="WS14" s="210"/>
      <c r="WT14" s="210"/>
      <c r="WU14" s="210"/>
      <c r="WV14" s="128"/>
      <c r="WW14" s="128"/>
      <c r="WX14" s="209" t="s">
        <v>33</v>
      </c>
      <c r="WY14" s="209"/>
      <c r="WZ14" s="209"/>
      <c r="XA14" s="209"/>
      <c r="XB14" s="103"/>
      <c r="XC14" s="103"/>
      <c r="XD14" s="210" t="s">
        <v>23</v>
      </c>
      <c r="XE14" s="210"/>
      <c r="XF14" s="210"/>
      <c r="XG14" s="210"/>
      <c r="XH14" s="128"/>
      <c r="XI14" s="128"/>
      <c r="XJ14" s="209" t="s">
        <v>34</v>
      </c>
      <c r="XK14" s="209"/>
      <c r="XL14" s="209"/>
      <c r="XM14" s="209"/>
      <c r="XN14" s="103"/>
      <c r="XO14" s="103"/>
      <c r="XP14" s="210" t="s">
        <v>24</v>
      </c>
      <c r="XQ14" s="210"/>
      <c r="XR14" s="210"/>
      <c r="XS14" s="210"/>
      <c r="XT14" s="128"/>
      <c r="XU14" s="128"/>
      <c r="XV14" s="209" t="s">
        <v>35</v>
      </c>
      <c r="XW14" s="209"/>
      <c r="XX14" s="209"/>
      <c r="XY14" s="209"/>
      <c r="XZ14" s="103"/>
      <c r="YA14" s="103"/>
      <c r="YB14" s="210" t="s">
        <v>25</v>
      </c>
      <c r="YC14" s="210"/>
      <c r="YD14" s="210"/>
      <c r="YE14" s="210"/>
      <c r="YF14" s="128"/>
      <c r="YG14" s="128"/>
      <c r="YH14" s="209" t="s">
        <v>36</v>
      </c>
      <c r="YI14" s="209"/>
      <c r="YJ14" s="209"/>
      <c r="YK14" s="209"/>
      <c r="YL14" s="103"/>
      <c r="YM14" s="103"/>
      <c r="YN14" s="103"/>
      <c r="YO14" s="104"/>
      <c r="YP14" s="102"/>
      <c r="YQ14" s="103"/>
      <c r="YR14" s="103"/>
      <c r="YS14" s="103"/>
      <c r="YT14" s="209" t="s">
        <v>32</v>
      </c>
      <c r="YU14" s="209"/>
      <c r="YV14" s="209"/>
      <c r="YW14" s="209"/>
      <c r="YX14" s="103"/>
      <c r="YY14" s="103"/>
      <c r="YZ14" s="210" t="s">
        <v>22</v>
      </c>
      <c r="ZA14" s="210"/>
      <c r="ZB14" s="210"/>
      <c r="ZC14" s="210"/>
      <c r="ZD14" s="128"/>
      <c r="ZE14" s="128"/>
      <c r="ZF14" s="209" t="s">
        <v>33</v>
      </c>
      <c r="ZG14" s="209"/>
      <c r="ZH14" s="209"/>
      <c r="ZI14" s="209"/>
      <c r="ZJ14" s="103"/>
      <c r="ZK14" s="103"/>
      <c r="ZL14" s="210" t="s">
        <v>23</v>
      </c>
      <c r="ZM14" s="210"/>
      <c r="ZN14" s="210"/>
      <c r="ZO14" s="210"/>
      <c r="ZP14" s="128"/>
      <c r="ZQ14" s="128"/>
      <c r="ZR14" s="209" t="s">
        <v>34</v>
      </c>
      <c r="ZS14" s="209"/>
      <c r="ZT14" s="209"/>
      <c r="ZU14" s="209"/>
      <c r="ZV14" s="103"/>
      <c r="ZW14" s="103"/>
      <c r="ZX14" s="210" t="s">
        <v>24</v>
      </c>
      <c r="ZY14" s="210"/>
      <c r="ZZ14" s="210"/>
      <c r="AAA14" s="210"/>
      <c r="AAB14" s="128"/>
      <c r="AAC14" s="128"/>
      <c r="AAD14" s="209" t="s">
        <v>35</v>
      </c>
      <c r="AAE14" s="209"/>
      <c r="AAF14" s="209"/>
      <c r="AAG14" s="209"/>
      <c r="AAH14" s="103"/>
      <c r="AAI14" s="103"/>
      <c r="AAJ14" s="210" t="s">
        <v>25</v>
      </c>
      <c r="AAK14" s="210"/>
      <c r="AAL14" s="210"/>
      <c r="AAM14" s="210"/>
      <c r="AAN14" s="128"/>
      <c r="AAO14" s="128"/>
      <c r="AAP14" s="209" t="s">
        <v>36</v>
      </c>
      <c r="AAQ14" s="209"/>
      <c r="AAR14" s="209"/>
      <c r="AAS14" s="209"/>
      <c r="AAT14" s="103"/>
      <c r="AAU14" s="103"/>
      <c r="AAV14" s="103"/>
      <c r="AAW14" s="104"/>
      <c r="AAX14" s="102"/>
      <c r="AAY14" s="103"/>
      <c r="AAZ14" s="103"/>
      <c r="ABA14" s="103"/>
      <c r="ABB14" s="209" t="s">
        <v>32</v>
      </c>
      <c r="ABC14" s="209"/>
      <c r="ABD14" s="209"/>
      <c r="ABE14" s="209"/>
      <c r="ABF14" s="103"/>
      <c r="ABG14" s="103"/>
      <c r="ABH14" s="210" t="s">
        <v>22</v>
      </c>
      <c r="ABI14" s="210"/>
      <c r="ABJ14" s="210"/>
      <c r="ABK14" s="210"/>
      <c r="ABL14" s="128"/>
      <c r="ABM14" s="128"/>
      <c r="ABN14" s="209" t="s">
        <v>33</v>
      </c>
      <c r="ABO14" s="209"/>
      <c r="ABP14" s="209"/>
      <c r="ABQ14" s="209"/>
      <c r="ABR14" s="103"/>
      <c r="ABS14" s="103"/>
      <c r="ABT14" s="210" t="s">
        <v>23</v>
      </c>
      <c r="ABU14" s="210"/>
      <c r="ABV14" s="210"/>
      <c r="ABW14" s="210"/>
      <c r="ABX14" s="128"/>
      <c r="ABY14" s="128"/>
      <c r="ABZ14" s="209" t="s">
        <v>34</v>
      </c>
      <c r="ACA14" s="209"/>
      <c r="ACB14" s="209"/>
      <c r="ACC14" s="209"/>
      <c r="ACD14" s="103"/>
      <c r="ACE14" s="103"/>
      <c r="ACF14" s="210" t="s">
        <v>24</v>
      </c>
      <c r="ACG14" s="210"/>
      <c r="ACH14" s="210"/>
      <c r="ACI14" s="210"/>
      <c r="ACJ14" s="128"/>
      <c r="ACK14" s="128"/>
      <c r="ACL14" s="209" t="s">
        <v>35</v>
      </c>
      <c r="ACM14" s="209"/>
      <c r="ACN14" s="209"/>
      <c r="ACO14" s="209"/>
      <c r="ACP14" s="103"/>
      <c r="ACQ14" s="103"/>
      <c r="ACR14" s="210" t="s">
        <v>25</v>
      </c>
      <c r="ACS14" s="210"/>
      <c r="ACT14" s="210"/>
      <c r="ACU14" s="210"/>
      <c r="ACV14" s="128"/>
      <c r="ACW14" s="128"/>
      <c r="ACX14" s="209" t="s">
        <v>36</v>
      </c>
      <c r="ACY14" s="209"/>
      <c r="ACZ14" s="209"/>
      <c r="ADA14" s="209"/>
      <c r="ADB14" s="103"/>
      <c r="ADC14" s="103"/>
      <c r="ADD14" s="103"/>
      <c r="ADE14" s="104"/>
      <c r="ADF14" s="102"/>
      <c r="ADG14" s="103"/>
      <c r="ADH14" s="103"/>
      <c r="ADI14" s="103"/>
      <c r="ADJ14" s="209" t="s">
        <v>32</v>
      </c>
      <c r="ADK14" s="209"/>
      <c r="ADL14" s="209"/>
      <c r="ADM14" s="209"/>
      <c r="ADN14" s="103"/>
      <c r="ADO14" s="103"/>
      <c r="ADP14" s="210" t="s">
        <v>22</v>
      </c>
      <c r="ADQ14" s="210"/>
      <c r="ADR14" s="210"/>
      <c r="ADS14" s="210"/>
      <c r="ADT14" s="128"/>
      <c r="ADU14" s="128"/>
      <c r="ADV14" s="209" t="s">
        <v>33</v>
      </c>
      <c r="ADW14" s="209"/>
      <c r="ADX14" s="209"/>
      <c r="ADY14" s="209"/>
      <c r="ADZ14" s="103"/>
      <c r="AEA14" s="103"/>
      <c r="AEB14" s="210" t="s">
        <v>23</v>
      </c>
      <c r="AEC14" s="210"/>
      <c r="AED14" s="210"/>
      <c r="AEE14" s="210"/>
      <c r="AEF14" s="128"/>
      <c r="AEG14" s="128"/>
      <c r="AEH14" s="209" t="s">
        <v>34</v>
      </c>
      <c r="AEI14" s="209"/>
      <c r="AEJ14" s="209"/>
      <c r="AEK14" s="209"/>
      <c r="AEL14" s="103"/>
      <c r="AEM14" s="103"/>
      <c r="AEN14" s="210" t="s">
        <v>24</v>
      </c>
      <c r="AEO14" s="210"/>
      <c r="AEP14" s="210"/>
      <c r="AEQ14" s="210"/>
      <c r="AER14" s="128"/>
      <c r="AES14" s="128"/>
      <c r="AET14" s="209" t="s">
        <v>35</v>
      </c>
      <c r="AEU14" s="209"/>
      <c r="AEV14" s="209"/>
      <c r="AEW14" s="209"/>
      <c r="AEX14" s="103"/>
      <c r="AEY14" s="103"/>
      <c r="AEZ14" s="210" t="s">
        <v>25</v>
      </c>
      <c r="AFA14" s="210"/>
      <c r="AFB14" s="210"/>
      <c r="AFC14" s="210"/>
      <c r="AFD14" s="128"/>
      <c r="AFE14" s="128"/>
      <c r="AFF14" s="209" t="s">
        <v>36</v>
      </c>
      <c r="AFG14" s="209"/>
      <c r="AFH14" s="209"/>
      <c r="AFI14" s="209"/>
      <c r="AFJ14" s="103"/>
      <c r="AFK14" s="103"/>
      <c r="AFL14" s="103"/>
      <c r="AFM14" s="104"/>
      <c r="AFN14" s="102"/>
      <c r="AFO14" s="103"/>
      <c r="AFP14" s="103"/>
      <c r="AFQ14" s="103"/>
      <c r="AFR14" s="209" t="s">
        <v>32</v>
      </c>
      <c r="AFS14" s="209"/>
      <c r="AFT14" s="209"/>
      <c r="AFU14" s="209"/>
      <c r="AFV14" s="103"/>
      <c r="AFW14" s="103"/>
      <c r="AFX14" s="210" t="s">
        <v>22</v>
      </c>
      <c r="AFY14" s="210"/>
      <c r="AFZ14" s="210"/>
      <c r="AGA14" s="210"/>
      <c r="AGB14" s="128"/>
      <c r="AGC14" s="128"/>
      <c r="AGD14" s="209" t="s">
        <v>33</v>
      </c>
      <c r="AGE14" s="209"/>
      <c r="AGF14" s="209"/>
      <c r="AGG14" s="209"/>
      <c r="AGH14" s="103"/>
      <c r="AGI14" s="103"/>
      <c r="AGJ14" s="210" t="s">
        <v>23</v>
      </c>
      <c r="AGK14" s="210"/>
      <c r="AGL14" s="210"/>
      <c r="AGM14" s="210"/>
      <c r="AGN14" s="128"/>
      <c r="AGO14" s="128"/>
      <c r="AGP14" s="209" t="s">
        <v>34</v>
      </c>
      <c r="AGQ14" s="209"/>
      <c r="AGR14" s="209"/>
      <c r="AGS14" s="209"/>
      <c r="AGT14" s="103"/>
      <c r="AGU14" s="103"/>
      <c r="AGV14" s="210" t="s">
        <v>24</v>
      </c>
      <c r="AGW14" s="210"/>
      <c r="AGX14" s="210"/>
      <c r="AGY14" s="210"/>
      <c r="AGZ14" s="128"/>
      <c r="AHA14" s="128"/>
      <c r="AHB14" s="209" t="s">
        <v>35</v>
      </c>
      <c r="AHC14" s="209"/>
      <c r="AHD14" s="209"/>
      <c r="AHE14" s="209"/>
      <c r="AHF14" s="103"/>
      <c r="AHG14" s="103"/>
      <c r="AHH14" s="210" t="s">
        <v>25</v>
      </c>
      <c r="AHI14" s="210"/>
      <c r="AHJ14" s="210"/>
      <c r="AHK14" s="210"/>
      <c r="AHL14" s="128"/>
      <c r="AHM14" s="128"/>
      <c r="AHN14" s="209" t="s">
        <v>36</v>
      </c>
      <c r="AHO14" s="209"/>
      <c r="AHP14" s="209"/>
      <c r="AHQ14" s="209"/>
      <c r="AHR14" s="103"/>
      <c r="AHS14" s="103"/>
      <c r="AHT14" s="103"/>
      <c r="AHU14" s="104"/>
      <c r="AHV14" s="102"/>
      <c r="AHW14" s="103"/>
      <c r="AHX14" s="103"/>
      <c r="AHY14" s="103"/>
      <c r="AHZ14" s="209" t="s">
        <v>32</v>
      </c>
      <c r="AIA14" s="209"/>
      <c r="AIB14" s="209"/>
      <c r="AIC14" s="209"/>
      <c r="AID14" s="103"/>
      <c r="AIE14" s="103"/>
      <c r="AIF14" s="210" t="s">
        <v>22</v>
      </c>
      <c r="AIG14" s="210"/>
      <c r="AIH14" s="210"/>
      <c r="AII14" s="210"/>
      <c r="AIJ14" s="128"/>
      <c r="AIK14" s="128"/>
      <c r="AIL14" s="209" t="s">
        <v>33</v>
      </c>
      <c r="AIM14" s="209"/>
      <c r="AIN14" s="209"/>
      <c r="AIO14" s="209"/>
      <c r="AIP14" s="103"/>
      <c r="AIQ14" s="103"/>
      <c r="AIR14" s="210" t="s">
        <v>23</v>
      </c>
      <c r="AIS14" s="210"/>
      <c r="AIT14" s="210"/>
      <c r="AIU14" s="210"/>
      <c r="AIV14" s="128"/>
      <c r="AIW14" s="128"/>
      <c r="AIX14" s="209" t="s">
        <v>34</v>
      </c>
      <c r="AIY14" s="209"/>
      <c r="AIZ14" s="209"/>
      <c r="AJA14" s="209"/>
      <c r="AJB14" s="103"/>
      <c r="AJC14" s="103"/>
      <c r="AJD14" s="210" t="s">
        <v>24</v>
      </c>
      <c r="AJE14" s="210"/>
      <c r="AJF14" s="210"/>
      <c r="AJG14" s="210"/>
      <c r="AJH14" s="128"/>
      <c r="AJI14" s="128"/>
      <c r="AJJ14" s="209" t="s">
        <v>35</v>
      </c>
      <c r="AJK14" s="209"/>
      <c r="AJL14" s="209"/>
      <c r="AJM14" s="209"/>
      <c r="AJN14" s="103"/>
      <c r="AJO14" s="103"/>
      <c r="AJP14" s="210" t="s">
        <v>25</v>
      </c>
      <c r="AJQ14" s="210"/>
      <c r="AJR14" s="210"/>
      <c r="AJS14" s="210"/>
      <c r="AJT14" s="128"/>
      <c r="AJU14" s="128"/>
      <c r="AJV14" s="209" t="s">
        <v>36</v>
      </c>
      <c r="AJW14" s="209"/>
      <c r="AJX14" s="209"/>
      <c r="AJY14" s="209"/>
      <c r="AJZ14" s="103"/>
      <c r="AKA14" s="103"/>
      <c r="AKB14" s="103"/>
      <c r="AKC14" s="104"/>
      <c r="AKD14" s="102"/>
      <c r="AKE14" s="103"/>
      <c r="AKF14" s="103"/>
      <c r="AKG14" s="103"/>
      <c r="AKH14" s="209" t="s">
        <v>32</v>
      </c>
      <c r="AKI14" s="209"/>
      <c r="AKJ14" s="209"/>
      <c r="AKK14" s="209"/>
      <c r="AKL14" s="103"/>
      <c r="AKM14" s="103"/>
      <c r="AKN14" s="210" t="s">
        <v>22</v>
      </c>
      <c r="AKO14" s="210"/>
      <c r="AKP14" s="210"/>
      <c r="AKQ14" s="210"/>
      <c r="AKR14" s="128"/>
      <c r="AKS14" s="128"/>
      <c r="AKT14" s="209" t="s">
        <v>33</v>
      </c>
      <c r="AKU14" s="209"/>
      <c r="AKV14" s="209"/>
      <c r="AKW14" s="209"/>
      <c r="AKX14" s="103"/>
      <c r="AKY14" s="103"/>
      <c r="AKZ14" s="210" t="s">
        <v>23</v>
      </c>
      <c r="ALA14" s="210"/>
      <c r="ALB14" s="210"/>
      <c r="ALC14" s="210"/>
      <c r="ALD14" s="128"/>
      <c r="ALE14" s="128"/>
      <c r="ALF14" s="209" t="s">
        <v>34</v>
      </c>
      <c r="ALG14" s="209"/>
      <c r="ALH14" s="209"/>
      <c r="ALI14" s="209"/>
      <c r="ALJ14" s="103"/>
      <c r="ALK14" s="103"/>
      <c r="ALL14" s="210" t="s">
        <v>24</v>
      </c>
      <c r="ALM14" s="210"/>
      <c r="ALN14" s="210"/>
      <c r="ALO14" s="210"/>
      <c r="ALP14" s="128"/>
      <c r="ALQ14" s="128"/>
      <c r="ALR14" s="209" t="s">
        <v>35</v>
      </c>
      <c r="ALS14" s="209"/>
      <c r="ALT14" s="209"/>
      <c r="ALU14" s="209"/>
      <c r="ALV14" s="103"/>
      <c r="ALW14" s="103"/>
      <c r="ALX14" s="210" t="s">
        <v>25</v>
      </c>
      <c r="ALY14" s="210"/>
      <c r="ALZ14" s="210"/>
      <c r="AMA14" s="210"/>
      <c r="AMB14" s="128"/>
      <c r="AMC14" s="128"/>
      <c r="AMD14" s="209" t="s">
        <v>36</v>
      </c>
      <c r="AME14" s="209"/>
      <c r="AMF14" s="209"/>
      <c r="AMG14" s="209"/>
      <c r="AMH14" s="103"/>
      <c r="AMI14" s="103"/>
      <c r="AMJ14" s="103"/>
      <c r="AMK14" s="104"/>
      <c r="AML14" s="102"/>
      <c r="AMM14" s="103"/>
      <c r="AMN14" s="103"/>
      <c r="AMO14" s="103"/>
      <c r="AMP14" s="209" t="s">
        <v>32</v>
      </c>
      <c r="AMQ14" s="209"/>
      <c r="AMR14" s="209"/>
      <c r="AMS14" s="209"/>
      <c r="AMT14" s="103"/>
      <c r="AMU14" s="103"/>
      <c r="AMV14" s="210" t="s">
        <v>22</v>
      </c>
      <c r="AMW14" s="210"/>
      <c r="AMX14" s="210"/>
      <c r="AMY14" s="210"/>
      <c r="AMZ14" s="128"/>
      <c r="ANA14" s="128"/>
      <c r="ANB14" s="209" t="s">
        <v>33</v>
      </c>
      <c r="ANC14" s="209"/>
      <c r="AND14" s="209"/>
      <c r="ANE14" s="209"/>
      <c r="ANF14" s="103"/>
      <c r="ANG14" s="103"/>
      <c r="ANH14" s="210" t="s">
        <v>23</v>
      </c>
      <c r="ANI14" s="210"/>
      <c r="ANJ14" s="210"/>
      <c r="ANK14" s="210"/>
      <c r="ANL14" s="128"/>
      <c r="ANM14" s="128"/>
      <c r="ANN14" s="209" t="s">
        <v>34</v>
      </c>
      <c r="ANO14" s="209"/>
      <c r="ANP14" s="209"/>
      <c r="ANQ14" s="209"/>
      <c r="ANR14" s="103"/>
      <c r="ANS14" s="103"/>
      <c r="ANT14" s="210" t="s">
        <v>24</v>
      </c>
      <c r="ANU14" s="210"/>
      <c r="ANV14" s="210"/>
      <c r="ANW14" s="210"/>
      <c r="ANX14" s="128"/>
      <c r="ANY14" s="128"/>
      <c r="ANZ14" s="209" t="s">
        <v>35</v>
      </c>
      <c r="AOA14" s="209"/>
      <c r="AOB14" s="209"/>
      <c r="AOC14" s="209"/>
      <c r="AOD14" s="103"/>
      <c r="AOE14" s="103"/>
      <c r="AOF14" s="210" t="s">
        <v>25</v>
      </c>
      <c r="AOG14" s="210"/>
      <c r="AOH14" s="210"/>
      <c r="AOI14" s="210"/>
      <c r="AOJ14" s="128"/>
      <c r="AOK14" s="128"/>
      <c r="AOL14" s="209" t="s">
        <v>36</v>
      </c>
      <c r="AOM14" s="209"/>
      <c r="AON14" s="209"/>
      <c r="AOO14" s="209"/>
      <c r="AOP14" s="103"/>
      <c r="AOQ14" s="103"/>
      <c r="AOR14" s="103"/>
      <c r="AOS14" s="104"/>
      <c r="AOT14" s="89"/>
    </row>
    <row r="15" spans="1:1146" ht="20.100000000000001" customHeight="1">
      <c r="A15" s="99" t="s">
        <v>18</v>
      </c>
      <c r="B15" s="62" t="str">
        <f>IF(LEN(C15)=0,"",C15)</f>
        <v>Absences - imprévus -Séances</v>
      </c>
      <c r="C15" s="219" t="s">
        <v>51</v>
      </c>
      <c r="D15" s="148" t="str">
        <f>setValueToTime(E15)</f>
        <v>9h</v>
      </c>
      <c r="E15" s="30">
        <v>108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146" ht="20.100000000000001" customHeight="1">
      <c r="A16" s="99" t="s">
        <v>19</v>
      </c>
      <c r="B16" s="62" t="str">
        <f>IF(LEN(C17)=0,"",C17)</f>
        <v>Doc - Journal de travail</v>
      </c>
      <c r="C16" s="220"/>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199"/>
      <c r="AOU16" s="200"/>
      <c r="AOV16" s="200"/>
      <c r="AOW16" s="200"/>
      <c r="AOX16" s="200"/>
      <c r="AOY16" s="200"/>
      <c r="AOZ16" s="200"/>
      <c r="APA16" s="200"/>
      <c r="APB16" s="200"/>
      <c r="APC16" s="200"/>
      <c r="APD16" s="200"/>
      <c r="APE16" s="200"/>
      <c r="APF16" s="200"/>
      <c r="APG16" s="200"/>
      <c r="APH16" s="200"/>
      <c r="API16" s="200"/>
      <c r="APJ16" s="200"/>
      <c r="APK16" s="200"/>
      <c r="APL16" s="200"/>
      <c r="APM16" s="200"/>
      <c r="APN16" s="200"/>
      <c r="APO16" s="200"/>
      <c r="APP16" s="200"/>
      <c r="APQ16" s="200"/>
      <c r="APR16" s="200"/>
      <c r="APS16" s="200"/>
      <c r="APT16" s="200"/>
      <c r="APU16" s="200"/>
      <c r="APV16" s="200"/>
      <c r="APW16" s="200"/>
      <c r="APX16" s="200"/>
      <c r="APY16" s="200"/>
      <c r="APZ16" s="200"/>
      <c r="AQA16" s="200"/>
      <c r="AQB16" s="200"/>
      <c r="AQC16" s="200"/>
      <c r="AQD16" s="200"/>
      <c r="AQE16" s="200"/>
      <c r="AQF16" s="200"/>
      <c r="AQG16" s="200"/>
      <c r="AQH16" s="200"/>
      <c r="AQI16" s="200"/>
      <c r="AQJ16" s="200"/>
      <c r="AQK16" s="200"/>
      <c r="AQL16" s="200"/>
      <c r="AQM16" s="200"/>
      <c r="AQN16" s="200"/>
      <c r="AQO16" s="200"/>
      <c r="AQP16" s="200"/>
      <c r="AQQ16" s="200"/>
      <c r="AQR16" s="200"/>
      <c r="AQS16" s="200"/>
      <c r="AQT16" s="200"/>
      <c r="AQU16" s="200"/>
      <c r="AQV16" s="200"/>
      <c r="AQW16" s="200"/>
      <c r="AQX16" s="200"/>
      <c r="AQY16" s="200"/>
      <c r="AQZ16" s="200"/>
      <c r="ARA16" s="200"/>
    </row>
    <row r="17" spans="1:1145" ht="20.100000000000001" customHeight="1">
      <c r="A17" s="99" t="s">
        <v>18</v>
      </c>
      <c r="B17" s="62" t="str">
        <f>IF(LEN(C19)=0,"",C19)</f>
        <v>Doc - Rapport</v>
      </c>
      <c r="C17" s="219" t="s">
        <v>15</v>
      </c>
      <c r="D17" s="145" t="str">
        <f t="shared" si="0"/>
        <v>7h45min</v>
      </c>
      <c r="E17" s="30">
        <v>93</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145" ht="20.100000000000001" customHeight="1">
      <c r="A18" s="99" t="s">
        <v>19</v>
      </c>
      <c r="B18" s="62" t="str">
        <f>IF(LEN(C21)=0,"",C21)</f>
        <v>Conc - annalyse</v>
      </c>
      <c r="C18" s="220"/>
      <c r="D18" s="147" t="str">
        <f t="shared" si="0"/>
        <v>2h30min</v>
      </c>
      <c r="E18" s="34">
        <v>30</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199"/>
      <c r="AOU18" s="200"/>
      <c r="AOV18" s="200"/>
      <c r="AOW18" s="200"/>
      <c r="AOX18" s="200"/>
      <c r="AOY18" s="200"/>
      <c r="AOZ18" s="200"/>
      <c r="APA18" s="200"/>
      <c r="APB18" s="200"/>
      <c r="APC18" s="200"/>
      <c r="APD18" s="200"/>
      <c r="APE18" s="200"/>
      <c r="APF18" s="200"/>
      <c r="APG18" s="200"/>
      <c r="APH18" s="200"/>
      <c r="API18" s="200"/>
      <c r="APJ18" s="200"/>
      <c r="APK18" s="200"/>
      <c r="APL18" s="200"/>
      <c r="APM18" s="200"/>
      <c r="APN18" s="200"/>
      <c r="APO18" s="200"/>
      <c r="APP18" s="200"/>
      <c r="APQ18" s="200"/>
      <c r="APR18" s="200"/>
      <c r="APS18" s="200"/>
      <c r="APT18" s="200"/>
      <c r="APU18" s="200"/>
      <c r="APV18" s="200"/>
      <c r="APW18" s="200"/>
      <c r="APX18" s="200"/>
      <c r="APY18" s="200"/>
      <c r="APZ18" s="200"/>
      <c r="AQA18" s="200"/>
      <c r="AQB18" s="200"/>
      <c r="AQC18" s="200"/>
      <c r="AQD18" s="200"/>
      <c r="AQE18" s="200"/>
      <c r="AQF18" s="200"/>
      <c r="AQG18" s="200"/>
      <c r="AQH18" s="200"/>
      <c r="AQI18" s="200"/>
      <c r="AQJ18" s="200"/>
      <c r="AQK18" s="200"/>
      <c r="AQL18" s="200"/>
      <c r="AQM18" s="200"/>
      <c r="AQN18" s="200"/>
      <c r="AQO18" s="200"/>
      <c r="AQP18" s="200"/>
      <c r="AQQ18" s="200"/>
      <c r="AQR18" s="200"/>
      <c r="AQS18" s="200"/>
      <c r="AQT18" s="200"/>
      <c r="AQU18" s="200"/>
      <c r="AQV18" s="200"/>
      <c r="AQW18" s="200"/>
      <c r="AQX18" s="200"/>
      <c r="AQY18" s="200"/>
      <c r="AQZ18" s="200"/>
      <c r="ARA18" s="200"/>
    </row>
    <row r="19" spans="1:1145" ht="20.100000000000001" customHeight="1">
      <c r="A19" s="99" t="s">
        <v>18</v>
      </c>
      <c r="B19" s="62" t="str">
        <f>IF(LEN(C23)=0,"",C23)</f>
        <v>Doc - Planning</v>
      </c>
      <c r="C19" s="219" t="s">
        <v>50</v>
      </c>
      <c r="D19" s="145" t="str">
        <f t="shared" si="0"/>
        <v>8h</v>
      </c>
      <c r="E19" s="38">
        <v>96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145" ht="20.100000000000001" customHeight="1">
      <c r="A20" s="99" t="s">
        <v>19</v>
      </c>
      <c r="B20" s="62" t="str">
        <f>IF(LEN(C25)=0,"",C25)</f>
        <v>App - Système de login</v>
      </c>
      <c r="C20" s="221"/>
      <c r="D20" s="146" t="str">
        <f t="shared" si="0"/>
        <v>4h</v>
      </c>
      <c r="E20" s="26">
        <v>48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99"/>
      <c r="AOU20" s="200"/>
      <c r="AOV20" s="200"/>
      <c r="AOW20" s="200"/>
      <c r="AOX20" s="200"/>
      <c r="AOY20" s="200"/>
      <c r="AOZ20" s="200"/>
      <c r="APA20" s="200"/>
      <c r="APB20" s="200"/>
      <c r="APC20" s="200"/>
      <c r="APD20" s="200"/>
      <c r="APE20" s="200"/>
      <c r="APF20" s="200"/>
      <c r="APG20" s="200"/>
      <c r="APH20" s="200"/>
      <c r="API20" s="200"/>
      <c r="APJ20" s="200"/>
      <c r="APK20" s="200"/>
      <c r="APL20" s="200"/>
      <c r="APM20" s="200"/>
      <c r="APN20" s="200"/>
      <c r="APO20" s="200"/>
      <c r="APP20" s="200"/>
      <c r="APQ20" s="200"/>
      <c r="APR20" s="200"/>
      <c r="APS20" s="200"/>
      <c r="APT20" s="200"/>
      <c r="APU20" s="200"/>
      <c r="APV20" s="200"/>
      <c r="APW20" s="200"/>
      <c r="APX20" s="200"/>
      <c r="APY20" s="200"/>
      <c r="APZ20" s="200"/>
      <c r="AQA20" s="200"/>
      <c r="AQB20" s="200"/>
      <c r="AQC20" s="200"/>
      <c r="AQD20" s="200"/>
      <c r="AQE20" s="200"/>
      <c r="AQF20" s="200"/>
      <c r="AQG20" s="200"/>
      <c r="AQH20" s="200"/>
      <c r="AQI20" s="200"/>
      <c r="AQJ20" s="200"/>
      <c r="AQK20" s="200"/>
      <c r="AQL20" s="200"/>
      <c r="AQM20" s="200"/>
      <c r="AQN20" s="200"/>
      <c r="AQO20" s="200"/>
      <c r="AQP20" s="200"/>
      <c r="AQQ20" s="200"/>
      <c r="AQR20" s="200"/>
      <c r="AQS20" s="200"/>
      <c r="AQT20" s="200"/>
      <c r="AQU20" s="200"/>
      <c r="AQV20" s="200"/>
      <c r="AQW20" s="200"/>
      <c r="AQX20" s="200"/>
      <c r="AQY20" s="200"/>
      <c r="AQZ20" s="200"/>
      <c r="ARA20" s="200"/>
    </row>
    <row r="21" spans="1:1145" ht="20.100000000000001" customHeight="1">
      <c r="A21" s="99" t="s">
        <v>18</v>
      </c>
      <c r="B21" s="62" t="str">
        <f>IF(LEN(C27)=0,"",C27)</f>
        <v>App - Création de comptes</v>
      </c>
      <c r="C21" s="219" t="s">
        <v>52</v>
      </c>
      <c r="D21" s="145" t="str">
        <f t="shared" si="0"/>
        <v>6h</v>
      </c>
      <c r="E21" s="30">
        <v>72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145" ht="20.100000000000001" customHeight="1">
      <c r="A22" s="99" t="s">
        <v>19</v>
      </c>
      <c r="B22" s="62" t="str">
        <f>IF(LEN(C29)=0,"",C29)</f>
        <v>App - Système de saisie</v>
      </c>
      <c r="C22" s="221"/>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199"/>
      <c r="AOU22" s="200"/>
      <c r="AOV22" s="200"/>
      <c r="AOW22" s="200"/>
      <c r="AOX22" s="200"/>
      <c r="AOY22" s="200"/>
      <c r="AOZ22" s="200"/>
      <c r="APA22" s="200"/>
      <c r="APB22" s="200"/>
      <c r="APC22" s="200"/>
      <c r="APD22" s="200"/>
      <c r="APE22" s="200"/>
      <c r="APF22" s="200"/>
      <c r="APG22" s="200"/>
      <c r="APH22" s="200"/>
      <c r="API22" s="200"/>
      <c r="APJ22" s="200"/>
      <c r="APK22" s="200"/>
      <c r="APL22" s="200"/>
      <c r="APM22" s="200"/>
      <c r="APN22" s="200"/>
      <c r="APO22" s="200"/>
      <c r="APP22" s="200"/>
      <c r="APQ22" s="200"/>
      <c r="APR22" s="200"/>
      <c r="APS22" s="200"/>
      <c r="APT22" s="200"/>
      <c r="APU22" s="200"/>
      <c r="APV22" s="200"/>
      <c r="APW22" s="200"/>
      <c r="APX22" s="200"/>
      <c r="APY22" s="200"/>
      <c r="APZ22" s="200"/>
      <c r="AQA22" s="200"/>
      <c r="AQB22" s="200"/>
      <c r="AQC22" s="200"/>
      <c r="AQD22" s="200"/>
      <c r="AQE22" s="200"/>
      <c r="AQF22" s="200"/>
      <c r="AQG22" s="200"/>
      <c r="AQH22" s="200"/>
      <c r="AQI22" s="200"/>
      <c r="AQJ22" s="200"/>
      <c r="AQK22" s="200"/>
      <c r="AQL22" s="200"/>
      <c r="AQM22" s="200"/>
      <c r="AQN22" s="200"/>
      <c r="AQO22" s="200"/>
      <c r="AQP22" s="200"/>
      <c r="AQQ22" s="200"/>
      <c r="AQR22" s="200"/>
      <c r="AQS22" s="200"/>
      <c r="AQT22" s="200"/>
      <c r="AQU22" s="200"/>
      <c r="AQV22" s="200"/>
      <c r="AQW22" s="200"/>
      <c r="AQX22" s="200"/>
      <c r="AQY22" s="200"/>
      <c r="AQZ22" s="200"/>
      <c r="ARA22" s="200"/>
    </row>
    <row r="23" spans="1:1145" ht="20.100000000000001" customHeight="1">
      <c r="A23" s="99" t="s">
        <v>18</v>
      </c>
      <c r="B23" s="62" t="str">
        <f>IF(LEN(C31)=0,"",C31)</f>
        <v>App - Système de recherche</v>
      </c>
      <c r="C23" s="219" t="s">
        <v>56</v>
      </c>
      <c r="D23" s="145" t="str">
        <f t="shared" si="0"/>
        <v>6h15min</v>
      </c>
      <c r="E23" s="38">
        <v>75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145" ht="20.100000000000001" customHeight="1">
      <c r="A24" s="99" t="s">
        <v>19</v>
      </c>
      <c r="B24" s="62" t="str">
        <f>IF(LEN(C33)=0,"",C33)</f>
        <v>App - Compte recherche/saisie</v>
      </c>
      <c r="C24" s="220"/>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199"/>
      <c r="AOU24" s="200"/>
      <c r="AOV24" s="200"/>
      <c r="AOW24" s="200"/>
      <c r="AOX24" s="200"/>
      <c r="AOY24" s="200"/>
      <c r="AOZ24" s="200"/>
      <c r="APA24" s="200"/>
      <c r="APB24" s="200"/>
      <c r="APC24" s="200"/>
      <c r="APD24" s="200"/>
      <c r="APE24" s="200"/>
      <c r="APF24" s="200"/>
      <c r="APG24" s="200"/>
      <c r="APH24" s="200"/>
      <c r="API24" s="200"/>
      <c r="APJ24" s="200"/>
      <c r="APK24" s="200"/>
      <c r="APL24" s="200"/>
      <c r="APM24" s="200"/>
      <c r="APN24" s="200"/>
      <c r="APO24" s="200"/>
      <c r="APP24" s="200"/>
      <c r="APQ24" s="200"/>
      <c r="APR24" s="200"/>
      <c r="APS24" s="200"/>
      <c r="APT24" s="200"/>
      <c r="APU24" s="200"/>
      <c r="APV24" s="200"/>
      <c r="APW24" s="200"/>
      <c r="APX24" s="200"/>
      <c r="APY24" s="200"/>
      <c r="APZ24" s="200"/>
      <c r="AQA24" s="200"/>
      <c r="AQB24" s="200"/>
      <c r="AQC24" s="200"/>
      <c r="AQD24" s="200"/>
      <c r="AQE24" s="200"/>
      <c r="AQF24" s="200"/>
      <c r="AQG24" s="200"/>
      <c r="AQH24" s="200"/>
      <c r="AQI24" s="200"/>
      <c r="AQJ24" s="200"/>
      <c r="AQK24" s="200"/>
      <c r="AQL24" s="200"/>
      <c r="AQM24" s="200"/>
      <c r="AQN24" s="200"/>
      <c r="AQO24" s="200"/>
      <c r="AQP24" s="200"/>
      <c r="AQQ24" s="200"/>
      <c r="AQR24" s="200"/>
      <c r="AQS24" s="200"/>
      <c r="AQT24" s="200"/>
      <c r="AQU24" s="200"/>
      <c r="AQV24" s="200"/>
      <c r="AQW24" s="200"/>
      <c r="AQX24" s="200"/>
      <c r="AQY24" s="200"/>
      <c r="AQZ24" s="200"/>
      <c r="ARA24" s="200"/>
    </row>
    <row r="25" spans="1:1145" ht="20.100000000000001" customHeight="1">
      <c r="A25" s="99" t="s">
        <v>18</v>
      </c>
      <c r="B25" s="62" t="str">
        <f>IF(LEN(C35)=0,"",C35)</f>
        <v>App - Compte recherche uniqu.</v>
      </c>
      <c r="C25" s="219" t="s">
        <v>57</v>
      </c>
      <c r="D25" s="145" t="str">
        <f t="shared" si="0"/>
        <v>6h15min</v>
      </c>
      <c r="E25" s="30">
        <v>75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145" ht="20.100000000000001" customHeight="1">
      <c r="A26" s="99" t="s">
        <v>19</v>
      </c>
      <c r="B26" s="62" t="str">
        <f>IF(LEN(C37)=0,"",C37)</f>
        <v>App - Système de statistique</v>
      </c>
      <c r="C26" s="221"/>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199"/>
      <c r="AOU26" s="200"/>
      <c r="AOV26" s="200"/>
      <c r="AOW26" s="200"/>
      <c r="AOX26" s="200"/>
      <c r="AOY26" s="200"/>
      <c r="AOZ26" s="200"/>
      <c r="APA26" s="200"/>
      <c r="APB26" s="200"/>
      <c r="APC26" s="200"/>
      <c r="APD26" s="200"/>
      <c r="APE26" s="200"/>
      <c r="APF26" s="200"/>
      <c r="APG26" s="200"/>
      <c r="APH26" s="200"/>
      <c r="API26" s="200"/>
      <c r="APJ26" s="200"/>
      <c r="APK26" s="200"/>
      <c r="APL26" s="200"/>
      <c r="APM26" s="200"/>
      <c r="APN26" s="200"/>
      <c r="APO26" s="200"/>
      <c r="APP26" s="200"/>
      <c r="APQ26" s="200"/>
      <c r="APR26" s="200"/>
      <c r="APS26" s="200"/>
      <c r="APT26" s="200"/>
      <c r="APU26" s="200"/>
      <c r="APV26" s="200"/>
      <c r="APW26" s="200"/>
      <c r="APX26" s="200"/>
      <c r="APY26" s="200"/>
      <c r="APZ26" s="200"/>
      <c r="AQA26" s="200"/>
      <c r="AQB26" s="200"/>
      <c r="AQC26" s="200"/>
      <c r="AQD26" s="200"/>
      <c r="AQE26" s="200"/>
      <c r="AQF26" s="200"/>
      <c r="AQG26" s="200"/>
      <c r="AQH26" s="200"/>
      <c r="AQI26" s="200"/>
      <c r="AQJ26" s="200"/>
      <c r="AQK26" s="200"/>
      <c r="AQL26" s="200"/>
      <c r="AQM26" s="200"/>
      <c r="AQN26" s="200"/>
      <c r="AQO26" s="200"/>
      <c r="AQP26" s="200"/>
      <c r="AQQ26" s="200"/>
      <c r="AQR26" s="200"/>
      <c r="AQS26" s="200"/>
      <c r="AQT26" s="200"/>
      <c r="AQU26" s="200"/>
      <c r="AQV26" s="200"/>
      <c r="AQW26" s="200"/>
      <c r="AQX26" s="200"/>
      <c r="AQY26" s="200"/>
      <c r="AQZ26" s="200"/>
      <c r="ARA26" s="200"/>
    </row>
    <row r="27" spans="1:1145" ht="20.100000000000001" customHeight="1">
      <c r="A27" s="99" t="s">
        <v>18</v>
      </c>
      <c r="B27" s="62" t="str">
        <f>IF(LEN(C39)=0,"",C39)</f>
        <v>Data - Création de la base de données</v>
      </c>
      <c r="C27" s="219" t="s">
        <v>58</v>
      </c>
      <c r="D27" s="145" t="str">
        <f t="shared" si="0"/>
        <v>16h</v>
      </c>
      <c r="E27" s="38">
        <v>192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145" ht="20.100000000000001" customHeight="1">
      <c r="A28" s="99" t="s">
        <v>19</v>
      </c>
      <c r="B28" s="62" t="str">
        <f>IF(LEN(C41)=0,"",C41)</f>
        <v>Data - Schéma base de données</v>
      </c>
      <c r="C28" s="221"/>
      <c r="D28" s="147" t="str">
        <f t="shared" si="0"/>
        <v>11h45min</v>
      </c>
      <c r="E28" s="26">
        <v>141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199"/>
      <c r="AOU28" s="200"/>
      <c r="AOV28" s="200"/>
      <c r="AOW28" s="200"/>
      <c r="AOX28" s="200"/>
      <c r="AOY28" s="200"/>
      <c r="AOZ28" s="200"/>
      <c r="APA28" s="200"/>
      <c r="APB28" s="200"/>
      <c r="APC28" s="200"/>
      <c r="APD28" s="200"/>
      <c r="APE28" s="200"/>
      <c r="APF28" s="200"/>
      <c r="APG28" s="200"/>
      <c r="APH28" s="200"/>
      <c r="API28" s="200"/>
      <c r="APJ28" s="200"/>
      <c r="APK28" s="200"/>
      <c r="APL28" s="200"/>
      <c r="APM28" s="200"/>
      <c r="APN28" s="200"/>
      <c r="APO28" s="200"/>
      <c r="APP28" s="200"/>
      <c r="APQ28" s="200"/>
      <c r="APR28" s="200"/>
      <c r="APS28" s="200"/>
      <c r="APT28" s="200"/>
      <c r="APU28" s="200"/>
      <c r="APV28" s="200"/>
      <c r="APW28" s="200"/>
      <c r="APX28" s="200"/>
      <c r="APY28" s="200"/>
      <c r="APZ28" s="200"/>
      <c r="AQA28" s="200"/>
      <c r="AQB28" s="200"/>
      <c r="AQC28" s="200"/>
      <c r="AQD28" s="200"/>
      <c r="AQE28" s="200"/>
      <c r="AQF28" s="200"/>
      <c r="AQG28" s="200"/>
      <c r="AQH28" s="200"/>
      <c r="AQI28" s="200"/>
      <c r="AQJ28" s="200"/>
      <c r="AQK28" s="200"/>
      <c r="AQL28" s="200"/>
      <c r="AQM28" s="200"/>
      <c r="AQN28" s="200"/>
      <c r="AQO28" s="200"/>
      <c r="AQP28" s="200"/>
      <c r="AQQ28" s="200"/>
      <c r="AQR28" s="200"/>
      <c r="AQS28" s="200"/>
      <c r="AQT28" s="200"/>
      <c r="AQU28" s="200"/>
      <c r="AQV28" s="200"/>
      <c r="AQW28" s="200"/>
      <c r="AQX28" s="200"/>
      <c r="AQY28" s="200"/>
      <c r="AQZ28" s="200"/>
      <c r="ARA28" s="200"/>
    </row>
    <row r="29" spans="1:1145" ht="20.100000000000001" customHeight="1">
      <c r="A29" s="99" t="s">
        <v>18</v>
      </c>
      <c r="B29" s="62" t="str">
        <f>IF(LEN(C43)=0,"",C43)</f>
        <v>App - Design du site</v>
      </c>
      <c r="C29" s="219" t="s">
        <v>59</v>
      </c>
      <c r="D29" s="145" t="str">
        <f t="shared" si="0"/>
        <v>11h30min</v>
      </c>
      <c r="E29" s="30">
        <v>138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145" ht="20.100000000000001" customHeight="1">
      <c r="A30" s="99" t="s">
        <v>19</v>
      </c>
      <c r="B30" s="62" t="str">
        <f>IF(LEN(C45)=0,"",C45)</f>
        <v>App - Modifier état des vélos</v>
      </c>
      <c r="C30" s="221"/>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199"/>
      <c r="AOU30" s="200"/>
      <c r="AOV30" s="200"/>
      <c r="AOW30" s="200"/>
      <c r="AOX30" s="200"/>
      <c r="AOY30" s="200"/>
      <c r="AOZ30" s="200"/>
      <c r="APA30" s="200"/>
      <c r="APB30" s="200"/>
      <c r="APC30" s="200"/>
      <c r="APD30" s="200"/>
      <c r="APE30" s="200"/>
      <c r="APF30" s="200"/>
      <c r="APG30" s="200"/>
      <c r="APH30" s="200"/>
      <c r="API30" s="200"/>
      <c r="APJ30" s="200"/>
      <c r="APK30" s="200"/>
      <c r="APL30" s="200"/>
      <c r="APM30" s="200"/>
      <c r="APN30" s="200"/>
      <c r="APO30" s="200"/>
      <c r="APP30" s="200"/>
      <c r="APQ30" s="200"/>
      <c r="APR30" s="200"/>
      <c r="APS30" s="200"/>
      <c r="APT30" s="200"/>
      <c r="APU30" s="200"/>
      <c r="APV30" s="200"/>
      <c r="APW30" s="200"/>
      <c r="APX30" s="200"/>
      <c r="APY30" s="200"/>
      <c r="APZ30" s="200"/>
      <c r="AQA30" s="200"/>
      <c r="AQB30" s="200"/>
      <c r="AQC30" s="200"/>
      <c r="AQD30" s="200"/>
      <c r="AQE30" s="200"/>
      <c r="AQF30" s="200"/>
      <c r="AQG30" s="200"/>
      <c r="AQH30" s="200"/>
      <c r="AQI30" s="200"/>
      <c r="AQJ30" s="200"/>
      <c r="AQK30" s="200"/>
      <c r="AQL30" s="200"/>
      <c r="AQM30" s="200"/>
      <c r="AQN30" s="200"/>
      <c r="AQO30" s="200"/>
      <c r="AQP30" s="200"/>
      <c r="AQQ30" s="200"/>
      <c r="AQR30" s="200"/>
      <c r="AQS30" s="200"/>
      <c r="AQT30" s="200"/>
      <c r="AQU30" s="200"/>
      <c r="AQV30" s="200"/>
      <c r="AQW30" s="200"/>
      <c r="AQX30" s="200"/>
      <c r="AQY30" s="200"/>
      <c r="AQZ30" s="200"/>
      <c r="ARA30" s="200"/>
    </row>
    <row r="31" spans="1:1145" ht="20.100000000000001" customHeight="1">
      <c r="A31" s="99" t="s">
        <v>18</v>
      </c>
      <c r="B31" s="62" t="str">
        <f>IF(LEN(C47)=0,"",C47)</f>
        <v>App - Création compte recherche</v>
      </c>
      <c r="C31" s="219" t="s">
        <v>60</v>
      </c>
      <c r="D31" s="145" t="str">
        <f t="shared" si="0"/>
        <v>19h15min</v>
      </c>
      <c r="E31" s="38">
        <v>231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145" ht="20.100000000000001" customHeight="1">
      <c r="A32" s="99" t="s">
        <v>19</v>
      </c>
      <c r="B32" s="62" t="str">
        <f>IF(LEN(C49)=0,"",C49)</f>
        <v>App - Page de détails</v>
      </c>
      <c r="C32" s="221"/>
      <c r="D32" s="147" t="str">
        <f t="shared" si="0"/>
        <v>5h30min</v>
      </c>
      <c r="E32" s="26">
        <v>66</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199"/>
      <c r="AOU32" s="200"/>
      <c r="AOV32" s="200"/>
      <c r="AOW32" s="200"/>
      <c r="AOX32" s="200"/>
      <c r="AOY32" s="200"/>
      <c r="AOZ32" s="200"/>
      <c r="APA32" s="200"/>
      <c r="APB32" s="200"/>
      <c r="APC32" s="200"/>
      <c r="APD32" s="200"/>
      <c r="APE32" s="200"/>
      <c r="APF32" s="200"/>
      <c r="APG32" s="200"/>
      <c r="APH32" s="200"/>
      <c r="API32" s="200"/>
      <c r="APJ32" s="200"/>
      <c r="APK32" s="200"/>
      <c r="APL32" s="200"/>
      <c r="APM32" s="200"/>
      <c r="APN32" s="200"/>
      <c r="APO32" s="200"/>
      <c r="APP32" s="200"/>
      <c r="APQ32" s="200"/>
      <c r="APR32" s="200"/>
      <c r="APS32" s="200"/>
      <c r="APT32" s="200"/>
      <c r="APU32" s="200"/>
      <c r="APV32" s="200"/>
      <c r="APW32" s="200"/>
      <c r="APX32" s="200"/>
      <c r="APY32" s="200"/>
      <c r="APZ32" s="200"/>
      <c r="AQA32" s="200"/>
      <c r="AQB32" s="200"/>
      <c r="AQC32" s="200"/>
      <c r="AQD32" s="200"/>
      <c r="AQE32" s="200"/>
      <c r="AQF32" s="200"/>
      <c r="AQG32" s="200"/>
      <c r="AQH32" s="200"/>
      <c r="AQI32" s="200"/>
      <c r="AQJ32" s="200"/>
      <c r="AQK32" s="200"/>
      <c r="AQL32" s="200"/>
      <c r="AQM32" s="200"/>
      <c r="AQN32" s="200"/>
      <c r="AQO32" s="200"/>
      <c r="AQP32" s="200"/>
      <c r="AQQ32" s="200"/>
      <c r="AQR32" s="200"/>
      <c r="AQS32" s="200"/>
      <c r="AQT32" s="200"/>
      <c r="AQU32" s="200"/>
      <c r="AQV32" s="200"/>
      <c r="AQW32" s="200"/>
      <c r="AQX32" s="200"/>
      <c r="AQY32" s="200"/>
      <c r="AQZ32" s="200"/>
      <c r="ARA32" s="200"/>
    </row>
    <row r="33" spans="1:1145" ht="20.100000000000001" customHeight="1">
      <c r="A33" s="99" t="s">
        <v>18</v>
      </c>
      <c r="B33" s="62" t="str">
        <f>IF(LEN(C51)=0,"",C51)</f>
        <v/>
      </c>
      <c r="C33" s="219" t="s">
        <v>61</v>
      </c>
      <c r="D33" s="145" t="str">
        <f t="shared" si="0"/>
        <v>5h</v>
      </c>
      <c r="E33" s="30">
        <v>60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145" ht="20.100000000000001" customHeight="1">
      <c r="A34" s="99" t="s">
        <v>19</v>
      </c>
      <c r="B34" s="62" t="str">
        <f>IF(LEN(C53)=0,"",C53)</f>
        <v/>
      </c>
      <c r="C34" s="221"/>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199"/>
      <c r="AOU34" s="200"/>
      <c r="AOV34" s="200"/>
      <c r="AOW34" s="200"/>
      <c r="AOX34" s="200"/>
      <c r="AOY34" s="200"/>
      <c r="AOZ34" s="200"/>
      <c r="APA34" s="200"/>
      <c r="APB34" s="200"/>
      <c r="APC34" s="200"/>
      <c r="APD34" s="200"/>
      <c r="APE34" s="200"/>
      <c r="APF34" s="200"/>
      <c r="APG34" s="200"/>
      <c r="APH34" s="200"/>
      <c r="API34" s="200"/>
      <c r="APJ34" s="200"/>
      <c r="APK34" s="200"/>
      <c r="APL34" s="200"/>
      <c r="APM34" s="200"/>
      <c r="APN34" s="200"/>
      <c r="APO34" s="200"/>
      <c r="APP34" s="200"/>
      <c r="APQ34" s="200"/>
      <c r="APR34" s="200"/>
      <c r="APS34" s="200"/>
      <c r="APT34" s="200"/>
      <c r="APU34" s="200"/>
      <c r="APV34" s="200"/>
      <c r="APW34" s="200"/>
      <c r="APX34" s="200"/>
      <c r="APY34" s="200"/>
      <c r="APZ34" s="200"/>
      <c r="AQA34" s="200"/>
      <c r="AQB34" s="200"/>
      <c r="AQC34" s="200"/>
      <c r="AQD34" s="200"/>
      <c r="AQE34" s="200"/>
      <c r="AQF34" s="200"/>
      <c r="AQG34" s="200"/>
      <c r="AQH34" s="200"/>
      <c r="AQI34" s="200"/>
      <c r="AQJ34" s="200"/>
      <c r="AQK34" s="200"/>
      <c r="AQL34" s="200"/>
      <c r="AQM34" s="200"/>
      <c r="AQN34" s="200"/>
      <c r="AQO34" s="200"/>
      <c r="AQP34" s="200"/>
      <c r="AQQ34" s="200"/>
      <c r="AQR34" s="200"/>
      <c r="AQS34" s="200"/>
      <c r="AQT34" s="200"/>
      <c r="AQU34" s="200"/>
      <c r="AQV34" s="200"/>
      <c r="AQW34" s="200"/>
      <c r="AQX34" s="200"/>
      <c r="AQY34" s="200"/>
      <c r="AQZ34" s="200"/>
      <c r="ARA34" s="200"/>
    </row>
    <row r="35" spans="1:1145" ht="20.100000000000001" customHeight="1">
      <c r="A35" s="99" t="s">
        <v>18</v>
      </c>
      <c r="B35" s="62" t="str">
        <f>IF(LEN(C55)=0,"",C55)</f>
        <v/>
      </c>
      <c r="C35" s="219" t="s">
        <v>62</v>
      </c>
      <c r="D35" s="145" t="str">
        <f t="shared" si="0"/>
        <v>9h15min</v>
      </c>
      <c r="E35" s="38">
        <v>111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145" ht="20.100000000000001" customHeight="1">
      <c r="A36" s="99" t="s">
        <v>19</v>
      </c>
      <c r="B36" s="62" t="str">
        <f>IF(LEN(C57)=0,"",C57)</f>
        <v/>
      </c>
      <c r="C36" s="221"/>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199"/>
      <c r="AOU36" s="200"/>
      <c r="AOV36" s="200"/>
      <c r="AOW36" s="200"/>
      <c r="AOX36" s="200"/>
      <c r="AOY36" s="200"/>
      <c r="AOZ36" s="200"/>
      <c r="APA36" s="200"/>
      <c r="APB36" s="200"/>
      <c r="APC36" s="200"/>
      <c r="APD36" s="200"/>
      <c r="APE36" s="200"/>
      <c r="APF36" s="200"/>
      <c r="APG36" s="200"/>
      <c r="APH36" s="200"/>
      <c r="API36" s="200"/>
      <c r="APJ36" s="200"/>
      <c r="APK36" s="200"/>
      <c r="APL36" s="200"/>
      <c r="APM36" s="200"/>
      <c r="APN36" s="200"/>
      <c r="APO36" s="200"/>
      <c r="APP36" s="200"/>
      <c r="APQ36" s="200"/>
      <c r="APR36" s="200"/>
      <c r="APS36" s="200"/>
      <c r="APT36" s="200"/>
      <c r="APU36" s="200"/>
      <c r="APV36" s="200"/>
      <c r="APW36" s="200"/>
      <c r="APX36" s="200"/>
      <c r="APY36" s="200"/>
      <c r="APZ36" s="200"/>
      <c r="AQA36" s="200"/>
      <c r="AQB36" s="200"/>
      <c r="AQC36" s="200"/>
      <c r="AQD36" s="200"/>
      <c r="AQE36" s="200"/>
      <c r="AQF36" s="200"/>
      <c r="AQG36" s="200"/>
      <c r="AQH36" s="200"/>
      <c r="AQI36" s="200"/>
      <c r="AQJ36" s="200"/>
      <c r="AQK36" s="200"/>
      <c r="AQL36" s="200"/>
      <c r="AQM36" s="200"/>
      <c r="AQN36" s="200"/>
      <c r="AQO36" s="200"/>
      <c r="AQP36" s="200"/>
      <c r="AQQ36" s="200"/>
      <c r="AQR36" s="200"/>
      <c r="AQS36" s="200"/>
      <c r="AQT36" s="200"/>
      <c r="AQU36" s="200"/>
      <c r="AQV36" s="200"/>
      <c r="AQW36" s="200"/>
      <c r="AQX36" s="200"/>
      <c r="AQY36" s="200"/>
      <c r="AQZ36" s="200"/>
      <c r="ARA36" s="200"/>
    </row>
    <row r="37" spans="1:1145" ht="20.100000000000001" customHeight="1">
      <c r="A37" s="99" t="s">
        <v>18</v>
      </c>
      <c r="B37" s="62" t="str">
        <f>IF(LEN(C59)=0,"",C59)</f>
        <v/>
      </c>
      <c r="C37" s="219" t="s">
        <v>63</v>
      </c>
      <c r="D37" s="145" t="str">
        <f t="shared" si="0"/>
        <v>5h</v>
      </c>
      <c r="E37" s="30">
        <v>60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145" ht="20.100000000000001" customHeight="1">
      <c r="A38" s="99" t="s">
        <v>19</v>
      </c>
      <c r="B38" s="62" t="str">
        <f>IF(LEN(C61)=0,"",C61)</f>
        <v/>
      </c>
      <c r="C38" s="221"/>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199"/>
      <c r="AOU38" s="200"/>
      <c r="AOV38" s="200"/>
      <c r="AOW38" s="200"/>
      <c r="AOX38" s="200"/>
      <c r="AOY38" s="200"/>
      <c r="AOZ38" s="200"/>
      <c r="APA38" s="200"/>
      <c r="APB38" s="200"/>
      <c r="APC38" s="200"/>
      <c r="APD38" s="200"/>
      <c r="APE38" s="200"/>
      <c r="APF38" s="200"/>
      <c r="APG38" s="200"/>
      <c r="APH38" s="200"/>
      <c r="API38" s="200"/>
      <c r="APJ38" s="200"/>
      <c r="APK38" s="200"/>
      <c r="APL38" s="200"/>
      <c r="APM38" s="200"/>
      <c r="APN38" s="200"/>
      <c r="APO38" s="200"/>
      <c r="APP38" s="200"/>
      <c r="APQ38" s="200"/>
      <c r="APR38" s="200"/>
      <c r="APS38" s="200"/>
      <c r="APT38" s="200"/>
      <c r="APU38" s="200"/>
      <c r="APV38" s="200"/>
      <c r="APW38" s="200"/>
      <c r="APX38" s="200"/>
      <c r="APY38" s="200"/>
      <c r="APZ38" s="200"/>
      <c r="AQA38" s="200"/>
      <c r="AQB38" s="200"/>
      <c r="AQC38" s="200"/>
      <c r="AQD38" s="200"/>
      <c r="AQE38" s="200"/>
      <c r="AQF38" s="200"/>
      <c r="AQG38" s="200"/>
      <c r="AQH38" s="200"/>
      <c r="AQI38" s="200"/>
      <c r="AQJ38" s="200"/>
      <c r="AQK38" s="200"/>
      <c r="AQL38" s="200"/>
      <c r="AQM38" s="200"/>
      <c r="AQN38" s="200"/>
      <c r="AQO38" s="200"/>
      <c r="AQP38" s="200"/>
      <c r="AQQ38" s="200"/>
      <c r="AQR38" s="200"/>
      <c r="AQS38" s="200"/>
      <c r="AQT38" s="200"/>
      <c r="AQU38" s="200"/>
      <c r="AQV38" s="200"/>
      <c r="AQW38" s="200"/>
      <c r="AQX38" s="200"/>
      <c r="AQY38" s="200"/>
      <c r="AQZ38" s="200"/>
      <c r="ARA38" s="200"/>
    </row>
    <row r="39" spans="1:1145" ht="20.100000000000001" customHeight="1">
      <c r="A39" s="99" t="s">
        <v>18</v>
      </c>
      <c r="B39" s="62" t="str">
        <f>IF(LEN(C63)=0,"",C63)</f>
        <v/>
      </c>
      <c r="C39" s="219" t="s">
        <v>65</v>
      </c>
      <c r="D39" s="145" t="str">
        <f t="shared" si="0"/>
        <v>5h45min</v>
      </c>
      <c r="E39" s="38">
        <v>69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145" ht="20.100000000000001" customHeight="1">
      <c r="A40" s="99" t="s">
        <v>19</v>
      </c>
      <c r="B40" s="62" t="str">
        <f>IF(LEN(C65)=0,"",C65)</f>
        <v/>
      </c>
      <c r="C40" s="221"/>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199"/>
      <c r="AOU40" s="200"/>
      <c r="AOV40" s="200"/>
      <c r="AOW40" s="200"/>
      <c r="AOX40" s="200"/>
      <c r="AOY40" s="200"/>
      <c r="AOZ40" s="200"/>
      <c r="APA40" s="200"/>
      <c r="APB40" s="200"/>
      <c r="APC40" s="200"/>
      <c r="APD40" s="200"/>
      <c r="APE40" s="200"/>
      <c r="APF40" s="200"/>
      <c r="APG40" s="200"/>
      <c r="APH40" s="200"/>
      <c r="API40" s="200"/>
      <c r="APJ40" s="200"/>
      <c r="APK40" s="200"/>
      <c r="APL40" s="200"/>
      <c r="APM40" s="200"/>
      <c r="APN40" s="200"/>
      <c r="APO40" s="200"/>
      <c r="APP40" s="200"/>
      <c r="APQ40" s="200"/>
      <c r="APR40" s="200"/>
      <c r="APS40" s="200"/>
      <c r="APT40" s="200"/>
      <c r="APU40" s="200"/>
      <c r="APV40" s="200"/>
      <c r="APW40" s="200"/>
      <c r="APX40" s="200"/>
      <c r="APY40" s="200"/>
      <c r="APZ40" s="200"/>
      <c r="AQA40" s="200"/>
      <c r="AQB40" s="200"/>
      <c r="AQC40" s="200"/>
      <c r="AQD40" s="200"/>
      <c r="AQE40" s="200"/>
      <c r="AQF40" s="200"/>
      <c r="AQG40" s="200"/>
      <c r="AQH40" s="200"/>
      <c r="AQI40" s="200"/>
      <c r="AQJ40" s="200"/>
      <c r="AQK40" s="200"/>
      <c r="AQL40" s="200"/>
      <c r="AQM40" s="200"/>
      <c r="AQN40" s="200"/>
      <c r="AQO40" s="200"/>
      <c r="AQP40" s="200"/>
      <c r="AQQ40" s="200"/>
      <c r="AQR40" s="200"/>
      <c r="AQS40" s="200"/>
      <c r="AQT40" s="200"/>
      <c r="AQU40" s="200"/>
      <c r="AQV40" s="200"/>
      <c r="AQW40" s="200"/>
      <c r="AQX40" s="200"/>
      <c r="AQY40" s="200"/>
      <c r="AQZ40" s="200"/>
      <c r="ARA40" s="200"/>
    </row>
    <row r="41" spans="1:1145" ht="20.100000000000001" customHeight="1">
      <c r="A41" s="99" t="s">
        <v>18</v>
      </c>
      <c r="B41" s="62" t="str">
        <f>IF(LEN(C67)=0,"",C67)</f>
        <v/>
      </c>
      <c r="C41" s="219" t="s">
        <v>64</v>
      </c>
      <c r="D41" s="145" t="str">
        <f t="shared" si="0"/>
        <v>5h45min</v>
      </c>
      <c r="E41" s="30">
        <v>69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145" ht="20.100000000000001" customHeight="1">
      <c r="A42" s="99" t="s">
        <v>19</v>
      </c>
      <c r="B42" s="62" t="str">
        <f>IF(LEN(C69)=0,"",C69)</f>
        <v/>
      </c>
      <c r="C42" s="221"/>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199"/>
      <c r="AOU42" s="200"/>
      <c r="AOV42" s="200"/>
      <c r="AOW42" s="200"/>
      <c r="AOX42" s="200"/>
      <c r="AOY42" s="200"/>
      <c r="AOZ42" s="200"/>
      <c r="APA42" s="200"/>
      <c r="APB42" s="200"/>
      <c r="APC42" s="200"/>
      <c r="APD42" s="200"/>
      <c r="APE42" s="200"/>
      <c r="APF42" s="200"/>
      <c r="APG42" s="200"/>
      <c r="APH42" s="200"/>
      <c r="API42" s="200"/>
      <c r="APJ42" s="200"/>
      <c r="APK42" s="200"/>
      <c r="APL42" s="200"/>
      <c r="APM42" s="200"/>
      <c r="APN42" s="200"/>
      <c r="APO42" s="200"/>
      <c r="APP42" s="200"/>
      <c r="APQ42" s="200"/>
      <c r="APR42" s="200"/>
      <c r="APS42" s="200"/>
      <c r="APT42" s="200"/>
      <c r="APU42" s="200"/>
      <c r="APV42" s="200"/>
      <c r="APW42" s="200"/>
      <c r="APX42" s="200"/>
      <c r="APY42" s="200"/>
      <c r="APZ42" s="200"/>
      <c r="AQA42" s="200"/>
      <c r="AQB42" s="200"/>
      <c r="AQC42" s="200"/>
      <c r="AQD42" s="200"/>
      <c r="AQE42" s="200"/>
      <c r="AQF42" s="200"/>
      <c r="AQG42" s="200"/>
      <c r="AQH42" s="200"/>
      <c r="AQI42" s="200"/>
      <c r="AQJ42" s="200"/>
      <c r="AQK42" s="200"/>
      <c r="AQL42" s="200"/>
      <c r="AQM42" s="200"/>
      <c r="AQN42" s="200"/>
      <c r="AQO42" s="200"/>
      <c r="AQP42" s="200"/>
      <c r="AQQ42" s="200"/>
      <c r="AQR42" s="200"/>
      <c r="AQS42" s="200"/>
      <c r="AQT42" s="200"/>
      <c r="AQU42" s="200"/>
      <c r="AQV42" s="200"/>
      <c r="AQW42" s="200"/>
      <c r="AQX42" s="200"/>
      <c r="AQY42" s="200"/>
      <c r="AQZ42" s="200"/>
      <c r="ARA42" s="200"/>
    </row>
    <row r="43" spans="1:1145" ht="20.100000000000001" customHeight="1">
      <c r="A43" s="99" t="s">
        <v>18</v>
      </c>
      <c r="B43" s="62" t="str">
        <f>IF(LEN(C71)=0,"",C71)</f>
        <v/>
      </c>
      <c r="C43" s="219" t="s">
        <v>66</v>
      </c>
      <c r="D43" s="145" t="str">
        <f t="shared" si="0"/>
        <v>5h</v>
      </c>
      <c r="E43" s="30">
        <v>60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145" ht="20.100000000000001" customHeight="1">
      <c r="A44" s="99" t="s">
        <v>19</v>
      </c>
      <c r="B44" s="62" t="str">
        <f>IF(LEN(C73)=0,"",C73)</f>
        <v/>
      </c>
      <c r="C44" s="221"/>
      <c r="D44" s="147" t="str">
        <f t="shared" si="0"/>
        <v>6h30min</v>
      </c>
      <c r="E44" s="34">
        <v>78</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199"/>
      <c r="AOU44" s="200"/>
      <c r="AOV44" s="200"/>
      <c r="AOW44" s="200"/>
      <c r="AOX44" s="200"/>
      <c r="AOY44" s="200"/>
      <c r="AOZ44" s="200"/>
      <c r="APA44" s="200"/>
      <c r="APB44" s="200"/>
      <c r="APC44" s="200"/>
      <c r="APD44" s="200"/>
      <c r="APE44" s="200"/>
      <c r="APF44" s="200"/>
      <c r="APG44" s="200"/>
      <c r="APH44" s="200"/>
      <c r="API44" s="200"/>
      <c r="APJ44" s="200"/>
      <c r="APK44" s="200"/>
      <c r="APL44" s="200"/>
      <c r="APM44" s="200"/>
      <c r="APN44" s="200"/>
      <c r="APO44" s="200"/>
      <c r="APP44" s="200"/>
      <c r="APQ44" s="200"/>
      <c r="APR44" s="200"/>
      <c r="APS44" s="200"/>
      <c r="APT44" s="200"/>
      <c r="APU44" s="200"/>
      <c r="APV44" s="200"/>
      <c r="APW44" s="200"/>
      <c r="APX44" s="200"/>
      <c r="APY44" s="200"/>
      <c r="APZ44" s="200"/>
      <c r="AQA44" s="200"/>
      <c r="AQB44" s="200"/>
      <c r="AQC44" s="200"/>
      <c r="AQD44" s="200"/>
      <c r="AQE44" s="200"/>
      <c r="AQF44" s="200"/>
      <c r="AQG44" s="200"/>
      <c r="AQH44" s="200"/>
      <c r="AQI44" s="200"/>
      <c r="AQJ44" s="200"/>
      <c r="AQK44" s="200"/>
      <c r="AQL44" s="200"/>
      <c r="AQM44" s="200"/>
      <c r="AQN44" s="200"/>
      <c r="AQO44" s="200"/>
      <c r="AQP44" s="200"/>
      <c r="AQQ44" s="200"/>
      <c r="AQR44" s="200"/>
      <c r="AQS44" s="200"/>
      <c r="AQT44" s="200"/>
      <c r="AQU44" s="200"/>
      <c r="AQV44" s="200"/>
      <c r="AQW44" s="200"/>
      <c r="AQX44" s="200"/>
      <c r="AQY44" s="200"/>
      <c r="AQZ44" s="200"/>
      <c r="ARA44" s="200"/>
    </row>
    <row r="45" spans="1:1145" ht="20.100000000000001" customHeight="1">
      <c r="A45" s="99" t="s">
        <v>18</v>
      </c>
      <c r="B45" s="62" t="str">
        <f>IF(LEN(C75)=0,"",C75)</f>
        <v/>
      </c>
      <c r="C45" s="219" t="s">
        <v>117</v>
      </c>
      <c r="D45" s="145" t="str">
        <f t="shared" si="0"/>
        <v>7h45min</v>
      </c>
      <c r="E45" s="38">
        <v>93</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145" ht="20.100000000000001" customHeight="1">
      <c r="A46" s="99" t="s">
        <v>19</v>
      </c>
      <c r="B46" s="62" t="str">
        <f>IF(LEN(C77)=0,"",C77)</f>
        <v/>
      </c>
      <c r="C46" s="221"/>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199"/>
      <c r="AOU46" s="200"/>
      <c r="AOV46" s="200"/>
      <c r="AOW46" s="200"/>
      <c r="AOX46" s="200"/>
      <c r="AOY46" s="200"/>
      <c r="AOZ46" s="200"/>
      <c r="APA46" s="200"/>
      <c r="APB46" s="200"/>
      <c r="APC46" s="200"/>
      <c r="APD46" s="200"/>
      <c r="APE46" s="200"/>
      <c r="APF46" s="200"/>
      <c r="APG46" s="200"/>
      <c r="APH46" s="200"/>
      <c r="API46" s="200"/>
      <c r="APJ46" s="200"/>
      <c r="APK46" s="200"/>
      <c r="APL46" s="200"/>
      <c r="APM46" s="200"/>
      <c r="APN46" s="200"/>
      <c r="APO46" s="200"/>
      <c r="APP46" s="200"/>
      <c r="APQ46" s="200"/>
      <c r="APR46" s="200"/>
      <c r="APS46" s="200"/>
      <c r="APT46" s="200"/>
      <c r="APU46" s="200"/>
      <c r="APV46" s="200"/>
      <c r="APW46" s="200"/>
      <c r="APX46" s="200"/>
      <c r="APY46" s="200"/>
      <c r="APZ46" s="200"/>
      <c r="AQA46" s="200"/>
      <c r="AQB46" s="200"/>
      <c r="AQC46" s="200"/>
      <c r="AQD46" s="200"/>
      <c r="AQE46" s="200"/>
      <c r="AQF46" s="200"/>
      <c r="AQG46" s="200"/>
      <c r="AQH46" s="200"/>
      <c r="AQI46" s="200"/>
      <c r="AQJ46" s="200"/>
      <c r="AQK46" s="200"/>
      <c r="AQL46" s="200"/>
      <c r="AQM46" s="200"/>
      <c r="AQN46" s="200"/>
      <c r="AQO46" s="200"/>
      <c r="AQP46" s="200"/>
      <c r="AQQ46" s="200"/>
      <c r="AQR46" s="200"/>
      <c r="AQS46" s="200"/>
      <c r="AQT46" s="200"/>
      <c r="AQU46" s="200"/>
      <c r="AQV46" s="200"/>
      <c r="AQW46" s="200"/>
      <c r="AQX46" s="200"/>
      <c r="AQY46" s="200"/>
      <c r="AQZ46" s="200"/>
      <c r="ARA46" s="200"/>
    </row>
    <row r="47" spans="1:1145" ht="20.100000000000001" customHeight="1">
      <c r="A47" s="99" t="s">
        <v>18</v>
      </c>
      <c r="B47" s="62" t="str">
        <f>IF(LEN(C79)=0,"",C79)</f>
        <v/>
      </c>
      <c r="C47" s="219" t="s">
        <v>118</v>
      </c>
      <c r="D47" s="145" t="str">
        <f t="shared" si="0"/>
        <v>5h</v>
      </c>
      <c r="E47" s="38">
        <v>60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145" ht="20.100000000000001" customHeight="1">
      <c r="A48" s="99" t="s">
        <v>19</v>
      </c>
      <c r="B48" s="62" t="str">
        <f>IF(LEN(C81)=0,"",C81)</f>
        <v/>
      </c>
      <c r="C48" s="221"/>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199"/>
      <c r="AOU48" s="200"/>
      <c r="AOV48" s="200"/>
      <c r="AOW48" s="200"/>
      <c r="AOX48" s="200"/>
      <c r="AOY48" s="200"/>
      <c r="AOZ48" s="200"/>
      <c r="APA48" s="200"/>
      <c r="APB48" s="200"/>
      <c r="APC48" s="200"/>
      <c r="APD48" s="200"/>
      <c r="APE48" s="200"/>
      <c r="APF48" s="200"/>
      <c r="APG48" s="200"/>
      <c r="APH48" s="200"/>
      <c r="API48" s="200"/>
      <c r="APJ48" s="200"/>
      <c r="APK48" s="200"/>
      <c r="APL48" s="200"/>
      <c r="APM48" s="200"/>
      <c r="APN48" s="200"/>
      <c r="APO48" s="200"/>
      <c r="APP48" s="200"/>
      <c r="APQ48" s="200"/>
      <c r="APR48" s="200"/>
      <c r="APS48" s="200"/>
      <c r="APT48" s="200"/>
      <c r="APU48" s="200"/>
      <c r="APV48" s="200"/>
      <c r="APW48" s="200"/>
      <c r="APX48" s="200"/>
      <c r="APY48" s="200"/>
      <c r="APZ48" s="200"/>
      <c r="AQA48" s="200"/>
      <c r="AQB48" s="200"/>
      <c r="AQC48" s="200"/>
      <c r="AQD48" s="200"/>
      <c r="AQE48" s="200"/>
      <c r="AQF48" s="200"/>
      <c r="AQG48" s="200"/>
      <c r="AQH48" s="200"/>
      <c r="AQI48" s="200"/>
      <c r="AQJ48" s="200"/>
      <c r="AQK48" s="200"/>
      <c r="AQL48" s="200"/>
      <c r="AQM48" s="200"/>
      <c r="AQN48" s="200"/>
      <c r="AQO48" s="200"/>
      <c r="AQP48" s="200"/>
      <c r="AQQ48" s="200"/>
      <c r="AQR48" s="200"/>
      <c r="AQS48" s="200"/>
      <c r="AQT48" s="200"/>
      <c r="AQU48" s="200"/>
      <c r="AQV48" s="200"/>
      <c r="AQW48" s="200"/>
      <c r="AQX48" s="200"/>
      <c r="AQY48" s="200"/>
      <c r="AQZ48" s="200"/>
      <c r="ARA48" s="200"/>
    </row>
    <row r="49" spans="1:1145" ht="20.100000000000001" customHeight="1">
      <c r="A49" s="99" t="s">
        <v>18</v>
      </c>
      <c r="B49" s="62" t="str">
        <f>IF(LEN(C83)=0,"",C83)</f>
        <v/>
      </c>
      <c r="C49" s="219" t="s">
        <v>165</v>
      </c>
      <c r="D49" s="145" t="str">
        <f t="shared" si="0"/>
        <v>5h</v>
      </c>
      <c r="E49" s="30">
        <v>60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145" ht="20.100000000000001" customHeight="1">
      <c r="A50" s="99" t="s">
        <v>19</v>
      </c>
      <c r="B50" s="62" t="str">
        <f>IF(LEN(C85)=0,"",C85)</f>
        <v/>
      </c>
      <c r="C50" s="220"/>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199"/>
      <c r="AOU50" s="200"/>
      <c r="AOV50" s="200"/>
      <c r="AOW50" s="200"/>
      <c r="AOX50" s="200"/>
      <c r="AOY50" s="200"/>
      <c r="AOZ50" s="200"/>
      <c r="APA50" s="200"/>
      <c r="APB50" s="200"/>
      <c r="APC50" s="200"/>
      <c r="APD50" s="200"/>
      <c r="APE50" s="200"/>
      <c r="APF50" s="200"/>
      <c r="APG50" s="200"/>
      <c r="APH50" s="200"/>
      <c r="API50" s="200"/>
      <c r="APJ50" s="200"/>
      <c r="APK50" s="200"/>
      <c r="APL50" s="200"/>
      <c r="APM50" s="200"/>
      <c r="APN50" s="200"/>
      <c r="APO50" s="200"/>
      <c r="APP50" s="200"/>
      <c r="APQ50" s="200"/>
      <c r="APR50" s="200"/>
      <c r="APS50" s="200"/>
      <c r="APT50" s="200"/>
      <c r="APU50" s="200"/>
      <c r="APV50" s="200"/>
      <c r="APW50" s="200"/>
      <c r="APX50" s="200"/>
      <c r="APY50" s="200"/>
      <c r="APZ50" s="200"/>
      <c r="AQA50" s="200"/>
      <c r="AQB50" s="200"/>
      <c r="AQC50" s="200"/>
      <c r="AQD50" s="200"/>
      <c r="AQE50" s="200"/>
      <c r="AQF50" s="200"/>
      <c r="AQG50" s="200"/>
      <c r="AQH50" s="200"/>
      <c r="AQI50" s="200"/>
      <c r="AQJ50" s="200"/>
      <c r="AQK50" s="200"/>
      <c r="AQL50" s="200"/>
      <c r="AQM50" s="200"/>
      <c r="AQN50" s="200"/>
      <c r="AQO50" s="200"/>
      <c r="AQP50" s="200"/>
      <c r="AQQ50" s="200"/>
      <c r="AQR50" s="200"/>
      <c r="AQS50" s="200"/>
      <c r="AQT50" s="200"/>
      <c r="AQU50" s="200"/>
      <c r="AQV50" s="200"/>
      <c r="AQW50" s="200"/>
      <c r="AQX50" s="200"/>
      <c r="AQY50" s="200"/>
      <c r="AQZ50" s="200"/>
      <c r="ARA50" s="200"/>
    </row>
    <row r="51" spans="1:1145" ht="20.100000000000001" customHeight="1">
      <c r="A51" s="99" t="s">
        <v>18</v>
      </c>
      <c r="B51" s="62" t="str">
        <f>IF(LEN(C87)=0,"",C87)</f>
        <v/>
      </c>
      <c r="C51" s="219"/>
      <c r="D51" s="145" t="str">
        <f t="shared" si="0"/>
        <v>5h</v>
      </c>
      <c r="E51" s="38">
        <v>60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145" ht="20.100000000000001" customHeight="1">
      <c r="A52" s="99" t="s">
        <v>19</v>
      </c>
      <c r="B52" s="62" t="str">
        <f>IF(LEN(C89)=0,"",C89)</f>
        <v/>
      </c>
      <c r="C52" s="221"/>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199"/>
      <c r="AOU52" s="200"/>
      <c r="AOV52" s="200"/>
      <c r="AOW52" s="200"/>
      <c r="AOX52" s="200"/>
      <c r="AOY52" s="200"/>
      <c r="AOZ52" s="200"/>
      <c r="APA52" s="200"/>
      <c r="APB52" s="200"/>
      <c r="APC52" s="200"/>
      <c r="APD52" s="200"/>
      <c r="APE52" s="200"/>
      <c r="APF52" s="200"/>
      <c r="APG52" s="200"/>
      <c r="APH52" s="200"/>
      <c r="API52" s="200"/>
      <c r="APJ52" s="200"/>
      <c r="APK52" s="200"/>
      <c r="APL52" s="200"/>
      <c r="APM52" s="200"/>
      <c r="APN52" s="200"/>
      <c r="APO52" s="200"/>
      <c r="APP52" s="200"/>
      <c r="APQ52" s="200"/>
      <c r="APR52" s="200"/>
      <c r="APS52" s="200"/>
      <c r="APT52" s="200"/>
      <c r="APU52" s="200"/>
      <c r="APV52" s="200"/>
      <c r="APW52" s="200"/>
      <c r="APX52" s="200"/>
      <c r="APY52" s="200"/>
      <c r="APZ52" s="200"/>
      <c r="AQA52" s="200"/>
      <c r="AQB52" s="200"/>
      <c r="AQC52" s="200"/>
      <c r="AQD52" s="200"/>
      <c r="AQE52" s="200"/>
      <c r="AQF52" s="200"/>
      <c r="AQG52" s="200"/>
      <c r="AQH52" s="200"/>
      <c r="AQI52" s="200"/>
      <c r="AQJ52" s="200"/>
      <c r="AQK52" s="200"/>
      <c r="AQL52" s="200"/>
      <c r="AQM52" s="200"/>
      <c r="AQN52" s="200"/>
      <c r="AQO52" s="200"/>
      <c r="AQP52" s="200"/>
      <c r="AQQ52" s="200"/>
      <c r="AQR52" s="200"/>
      <c r="AQS52" s="200"/>
      <c r="AQT52" s="200"/>
      <c r="AQU52" s="200"/>
      <c r="AQV52" s="200"/>
      <c r="AQW52" s="200"/>
      <c r="AQX52" s="200"/>
      <c r="AQY52" s="200"/>
      <c r="AQZ52" s="200"/>
      <c r="ARA52" s="200"/>
    </row>
    <row r="53" spans="1:1145" ht="20.100000000000001" customHeight="1">
      <c r="A53" s="99" t="s">
        <v>18</v>
      </c>
      <c r="B53" s="62" t="str">
        <f>IF(LEN(C91)=0,"",C91)</f>
        <v/>
      </c>
      <c r="C53" s="219"/>
      <c r="D53" s="145" t="str">
        <f t="shared" si="0"/>
        <v>5h</v>
      </c>
      <c r="E53" s="30">
        <v>60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145" ht="20.100000000000001" customHeight="1">
      <c r="A54" s="99" t="s">
        <v>19</v>
      </c>
      <c r="B54" s="62" t="str">
        <f>IF(LEN(C93)=0,"",C93)</f>
        <v/>
      </c>
      <c r="C54" s="220"/>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199"/>
      <c r="AOU54" s="200"/>
      <c r="AOV54" s="200"/>
      <c r="AOW54" s="200"/>
      <c r="AOX54" s="200"/>
      <c r="AOY54" s="200"/>
      <c r="AOZ54" s="200"/>
      <c r="APA54" s="200"/>
      <c r="APB54" s="200"/>
      <c r="APC54" s="200"/>
      <c r="APD54" s="200"/>
      <c r="APE54" s="200"/>
      <c r="APF54" s="200"/>
      <c r="APG54" s="200"/>
      <c r="APH54" s="200"/>
      <c r="API54" s="200"/>
      <c r="APJ54" s="200"/>
      <c r="APK54" s="200"/>
      <c r="APL54" s="200"/>
      <c r="APM54" s="200"/>
      <c r="APN54" s="200"/>
      <c r="APO54" s="200"/>
      <c r="APP54" s="200"/>
      <c r="APQ54" s="200"/>
      <c r="APR54" s="200"/>
      <c r="APS54" s="200"/>
      <c r="APT54" s="200"/>
      <c r="APU54" s="200"/>
      <c r="APV54" s="200"/>
      <c r="APW54" s="200"/>
      <c r="APX54" s="200"/>
      <c r="APY54" s="200"/>
      <c r="APZ54" s="200"/>
      <c r="AQA54" s="200"/>
      <c r="AQB54" s="200"/>
      <c r="AQC54" s="200"/>
      <c r="AQD54" s="200"/>
      <c r="AQE54" s="200"/>
      <c r="AQF54" s="200"/>
      <c r="AQG54" s="200"/>
      <c r="AQH54" s="200"/>
      <c r="AQI54" s="200"/>
      <c r="AQJ54" s="200"/>
      <c r="AQK54" s="200"/>
      <c r="AQL54" s="200"/>
      <c r="AQM54" s="200"/>
      <c r="AQN54" s="200"/>
      <c r="AQO54" s="200"/>
      <c r="AQP54" s="200"/>
      <c r="AQQ54" s="200"/>
      <c r="AQR54" s="200"/>
      <c r="AQS54" s="200"/>
      <c r="AQT54" s="200"/>
      <c r="AQU54" s="200"/>
      <c r="AQV54" s="200"/>
      <c r="AQW54" s="200"/>
      <c r="AQX54" s="200"/>
      <c r="AQY54" s="200"/>
      <c r="AQZ54" s="200"/>
      <c r="ARA54" s="200"/>
    </row>
    <row r="55" spans="1:1145" ht="20.100000000000001" customHeight="1">
      <c r="A55" s="99" t="s">
        <v>18</v>
      </c>
      <c r="B55" s="62"/>
      <c r="C55" s="219"/>
      <c r="D55" s="145" t="str">
        <f t="shared" si="0"/>
        <v>5h</v>
      </c>
      <c r="E55" s="38">
        <v>60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145" ht="20.100000000000001" customHeight="1">
      <c r="A56" s="99" t="s">
        <v>19</v>
      </c>
      <c r="B56" s="62"/>
      <c r="C56" s="221"/>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199"/>
      <c r="AOU56" s="200"/>
      <c r="AOV56" s="200"/>
      <c r="AOW56" s="200"/>
      <c r="AOX56" s="200"/>
      <c r="AOY56" s="200"/>
      <c r="AOZ56" s="200"/>
      <c r="APA56" s="200"/>
      <c r="APB56" s="200"/>
      <c r="APC56" s="200"/>
      <c r="APD56" s="200"/>
      <c r="APE56" s="200"/>
      <c r="APF56" s="200"/>
      <c r="APG56" s="200"/>
      <c r="APH56" s="200"/>
      <c r="API56" s="200"/>
      <c r="APJ56" s="200"/>
      <c r="APK56" s="200"/>
      <c r="APL56" s="200"/>
      <c r="APM56" s="200"/>
      <c r="APN56" s="200"/>
      <c r="APO56" s="200"/>
      <c r="APP56" s="200"/>
      <c r="APQ56" s="200"/>
      <c r="APR56" s="200"/>
      <c r="APS56" s="200"/>
      <c r="APT56" s="200"/>
      <c r="APU56" s="200"/>
      <c r="APV56" s="200"/>
      <c r="APW56" s="200"/>
      <c r="APX56" s="200"/>
      <c r="APY56" s="200"/>
      <c r="APZ56" s="200"/>
      <c r="AQA56" s="200"/>
      <c r="AQB56" s="200"/>
      <c r="AQC56" s="200"/>
      <c r="AQD56" s="200"/>
      <c r="AQE56" s="200"/>
      <c r="AQF56" s="200"/>
      <c r="AQG56" s="200"/>
      <c r="AQH56" s="200"/>
      <c r="AQI56" s="200"/>
      <c r="AQJ56" s="200"/>
      <c r="AQK56" s="200"/>
      <c r="AQL56" s="200"/>
      <c r="AQM56" s="200"/>
      <c r="AQN56" s="200"/>
      <c r="AQO56" s="200"/>
      <c r="AQP56" s="200"/>
      <c r="AQQ56" s="200"/>
      <c r="AQR56" s="200"/>
      <c r="AQS56" s="200"/>
      <c r="AQT56" s="200"/>
      <c r="AQU56" s="200"/>
      <c r="AQV56" s="200"/>
      <c r="AQW56" s="200"/>
      <c r="AQX56" s="200"/>
      <c r="AQY56" s="200"/>
      <c r="AQZ56" s="200"/>
      <c r="ARA56" s="200"/>
    </row>
    <row r="57" spans="1:1145" ht="20.100000000000001" customHeight="1">
      <c r="A57" s="99" t="s">
        <v>18</v>
      </c>
      <c r="B57" s="62"/>
      <c r="C57" s="219"/>
      <c r="D57" s="145" t="str">
        <f t="shared" si="0"/>
        <v>5h</v>
      </c>
      <c r="E57" s="30">
        <v>60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145" ht="20.100000000000001" customHeight="1">
      <c r="A58" s="99" t="s">
        <v>19</v>
      </c>
      <c r="B58" s="62"/>
      <c r="C58" s="220"/>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199"/>
      <c r="AOU58" s="200"/>
      <c r="AOV58" s="200"/>
      <c r="AOW58" s="200"/>
      <c r="AOX58" s="200"/>
      <c r="AOY58" s="200"/>
      <c r="AOZ58" s="200"/>
      <c r="APA58" s="200"/>
      <c r="APB58" s="200"/>
      <c r="APC58" s="200"/>
      <c r="APD58" s="200"/>
      <c r="APE58" s="200"/>
      <c r="APF58" s="200"/>
      <c r="APG58" s="200"/>
      <c r="APH58" s="200"/>
      <c r="API58" s="200"/>
      <c r="APJ58" s="200"/>
      <c r="APK58" s="200"/>
      <c r="APL58" s="200"/>
      <c r="APM58" s="200"/>
      <c r="APN58" s="200"/>
      <c r="APO58" s="200"/>
      <c r="APP58" s="200"/>
      <c r="APQ58" s="200"/>
      <c r="APR58" s="200"/>
      <c r="APS58" s="200"/>
      <c r="APT58" s="200"/>
      <c r="APU58" s="200"/>
      <c r="APV58" s="200"/>
      <c r="APW58" s="200"/>
      <c r="APX58" s="200"/>
      <c r="APY58" s="200"/>
      <c r="APZ58" s="200"/>
      <c r="AQA58" s="200"/>
      <c r="AQB58" s="200"/>
      <c r="AQC58" s="200"/>
      <c r="AQD58" s="200"/>
      <c r="AQE58" s="200"/>
      <c r="AQF58" s="200"/>
      <c r="AQG58" s="200"/>
      <c r="AQH58" s="200"/>
      <c r="AQI58" s="200"/>
      <c r="AQJ58" s="200"/>
      <c r="AQK58" s="200"/>
      <c r="AQL58" s="200"/>
      <c r="AQM58" s="200"/>
      <c r="AQN58" s="200"/>
      <c r="AQO58" s="200"/>
      <c r="AQP58" s="200"/>
      <c r="AQQ58" s="200"/>
      <c r="AQR58" s="200"/>
      <c r="AQS58" s="200"/>
      <c r="AQT58" s="200"/>
      <c r="AQU58" s="200"/>
      <c r="AQV58" s="200"/>
      <c r="AQW58" s="200"/>
      <c r="AQX58" s="200"/>
      <c r="AQY58" s="200"/>
      <c r="AQZ58" s="200"/>
      <c r="ARA58" s="200"/>
    </row>
    <row r="59" spans="1:1145" ht="20.100000000000001" customHeight="1">
      <c r="A59" s="99" t="s">
        <v>18</v>
      </c>
      <c r="B59" s="62"/>
      <c r="C59" s="219"/>
      <c r="D59" s="145" t="str">
        <f t="shared" si="0"/>
        <v>5h</v>
      </c>
      <c r="E59" s="30">
        <v>60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145" ht="20.100000000000001" customHeight="1">
      <c r="A60" s="99" t="s">
        <v>19</v>
      </c>
      <c r="B60" s="62"/>
      <c r="C60" s="220"/>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199"/>
      <c r="AOU60" s="200"/>
      <c r="AOV60" s="200"/>
      <c r="AOW60" s="200"/>
      <c r="AOX60" s="200"/>
      <c r="AOY60" s="200"/>
      <c r="AOZ60" s="200"/>
      <c r="APA60" s="200"/>
      <c r="APB60" s="200"/>
      <c r="APC60" s="200"/>
      <c r="APD60" s="200"/>
      <c r="APE60" s="200"/>
      <c r="APF60" s="200"/>
      <c r="APG60" s="200"/>
      <c r="APH60" s="200"/>
      <c r="API60" s="200"/>
      <c r="APJ60" s="200"/>
      <c r="APK60" s="200"/>
      <c r="APL60" s="200"/>
      <c r="APM60" s="200"/>
      <c r="APN60" s="200"/>
      <c r="APO60" s="200"/>
      <c r="APP60" s="200"/>
      <c r="APQ60" s="200"/>
      <c r="APR60" s="200"/>
      <c r="APS60" s="200"/>
      <c r="APT60" s="200"/>
      <c r="APU60" s="200"/>
      <c r="APV60" s="200"/>
      <c r="APW60" s="200"/>
      <c r="APX60" s="200"/>
      <c r="APY60" s="200"/>
      <c r="APZ60" s="200"/>
      <c r="AQA60" s="200"/>
      <c r="AQB60" s="200"/>
      <c r="AQC60" s="200"/>
      <c r="AQD60" s="200"/>
      <c r="AQE60" s="200"/>
      <c r="AQF60" s="200"/>
      <c r="AQG60" s="200"/>
      <c r="AQH60" s="200"/>
      <c r="AQI60" s="200"/>
      <c r="AQJ60" s="200"/>
      <c r="AQK60" s="200"/>
      <c r="AQL60" s="200"/>
      <c r="AQM60" s="200"/>
      <c r="AQN60" s="200"/>
      <c r="AQO60" s="200"/>
      <c r="AQP60" s="200"/>
      <c r="AQQ60" s="200"/>
      <c r="AQR60" s="200"/>
      <c r="AQS60" s="200"/>
      <c r="AQT60" s="200"/>
      <c r="AQU60" s="200"/>
      <c r="AQV60" s="200"/>
      <c r="AQW60" s="200"/>
      <c r="AQX60" s="200"/>
      <c r="AQY60" s="200"/>
      <c r="AQZ60" s="200"/>
      <c r="ARA60" s="200"/>
    </row>
    <row r="61" spans="1:1145" ht="20.100000000000001" customHeight="1">
      <c r="A61" s="99" t="s">
        <v>18</v>
      </c>
      <c r="B61" s="62"/>
      <c r="C61" s="219"/>
      <c r="D61" s="145" t="str">
        <f t="shared" si="0"/>
        <v>5h</v>
      </c>
      <c r="E61" s="38">
        <v>60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145" ht="20.100000000000001" customHeight="1">
      <c r="A62" s="99" t="s">
        <v>19</v>
      </c>
      <c r="B62" s="62"/>
      <c r="C62" s="221"/>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199"/>
      <c r="AOU62" s="200"/>
      <c r="AOV62" s="200"/>
      <c r="AOW62" s="200"/>
      <c r="AOX62" s="200"/>
      <c r="AOY62" s="200"/>
      <c r="AOZ62" s="200"/>
      <c r="APA62" s="200"/>
      <c r="APB62" s="200"/>
      <c r="APC62" s="200"/>
      <c r="APD62" s="200"/>
      <c r="APE62" s="200"/>
      <c r="APF62" s="200"/>
      <c r="APG62" s="200"/>
      <c r="APH62" s="200"/>
      <c r="API62" s="200"/>
      <c r="APJ62" s="200"/>
      <c r="APK62" s="200"/>
      <c r="APL62" s="200"/>
      <c r="APM62" s="200"/>
      <c r="APN62" s="200"/>
      <c r="APO62" s="200"/>
      <c r="APP62" s="200"/>
      <c r="APQ62" s="200"/>
      <c r="APR62" s="200"/>
      <c r="APS62" s="200"/>
      <c r="APT62" s="200"/>
      <c r="APU62" s="200"/>
      <c r="APV62" s="200"/>
      <c r="APW62" s="200"/>
      <c r="APX62" s="200"/>
      <c r="APY62" s="200"/>
      <c r="APZ62" s="200"/>
      <c r="AQA62" s="200"/>
      <c r="AQB62" s="200"/>
      <c r="AQC62" s="200"/>
      <c r="AQD62" s="200"/>
      <c r="AQE62" s="200"/>
      <c r="AQF62" s="200"/>
      <c r="AQG62" s="200"/>
      <c r="AQH62" s="200"/>
      <c r="AQI62" s="200"/>
      <c r="AQJ62" s="200"/>
      <c r="AQK62" s="200"/>
      <c r="AQL62" s="200"/>
      <c r="AQM62" s="200"/>
      <c r="AQN62" s="200"/>
      <c r="AQO62" s="200"/>
      <c r="AQP62" s="200"/>
      <c r="AQQ62" s="200"/>
      <c r="AQR62" s="200"/>
      <c r="AQS62" s="200"/>
      <c r="AQT62" s="200"/>
      <c r="AQU62" s="200"/>
      <c r="AQV62" s="200"/>
      <c r="AQW62" s="200"/>
      <c r="AQX62" s="200"/>
      <c r="AQY62" s="200"/>
      <c r="AQZ62" s="200"/>
      <c r="ARA62" s="200"/>
    </row>
    <row r="63" spans="1:1145" ht="20.100000000000001" customHeight="1">
      <c r="A63" s="99" t="s">
        <v>18</v>
      </c>
      <c r="B63" s="62"/>
      <c r="C63" s="219"/>
      <c r="D63" s="145" t="str">
        <f t="shared" si="0"/>
        <v>5h</v>
      </c>
      <c r="E63" s="38">
        <v>60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145" ht="20.100000000000001" customHeight="1">
      <c r="A64" s="99" t="s">
        <v>19</v>
      </c>
      <c r="B64" s="62"/>
      <c r="C64" s="220"/>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199"/>
      <c r="AOU64" s="200"/>
      <c r="AOV64" s="200"/>
      <c r="AOW64" s="200"/>
      <c r="AOX64" s="200"/>
      <c r="AOY64" s="200"/>
      <c r="AOZ64" s="200"/>
      <c r="APA64" s="200"/>
      <c r="APB64" s="200"/>
      <c r="APC64" s="200"/>
      <c r="APD64" s="200"/>
      <c r="APE64" s="200"/>
      <c r="APF64" s="200"/>
      <c r="APG64" s="200"/>
      <c r="APH64" s="200"/>
      <c r="API64" s="200"/>
      <c r="APJ64" s="200"/>
      <c r="APK64" s="200"/>
      <c r="APL64" s="200"/>
      <c r="APM64" s="200"/>
      <c r="APN64" s="200"/>
      <c r="APO64" s="200"/>
      <c r="APP64" s="200"/>
      <c r="APQ64" s="200"/>
      <c r="APR64" s="200"/>
      <c r="APS64" s="200"/>
      <c r="APT64" s="200"/>
      <c r="APU64" s="200"/>
      <c r="APV64" s="200"/>
      <c r="APW64" s="200"/>
      <c r="APX64" s="200"/>
      <c r="APY64" s="200"/>
      <c r="APZ64" s="200"/>
      <c r="AQA64" s="200"/>
      <c r="AQB64" s="200"/>
      <c r="AQC64" s="200"/>
      <c r="AQD64" s="200"/>
      <c r="AQE64" s="200"/>
      <c r="AQF64" s="200"/>
      <c r="AQG64" s="200"/>
      <c r="AQH64" s="200"/>
      <c r="AQI64" s="200"/>
      <c r="AQJ64" s="200"/>
      <c r="AQK64" s="200"/>
      <c r="AQL64" s="200"/>
      <c r="AQM64" s="200"/>
      <c r="AQN64" s="200"/>
      <c r="AQO64" s="200"/>
      <c r="AQP64" s="200"/>
      <c r="AQQ64" s="200"/>
      <c r="AQR64" s="200"/>
      <c r="AQS64" s="200"/>
      <c r="AQT64" s="200"/>
      <c r="AQU64" s="200"/>
      <c r="AQV64" s="200"/>
      <c r="AQW64" s="200"/>
      <c r="AQX64" s="200"/>
      <c r="AQY64" s="200"/>
      <c r="AQZ64" s="200"/>
      <c r="ARA64" s="200"/>
    </row>
    <row r="65" spans="1:1145" ht="20.100000000000001" customHeight="1">
      <c r="A65" s="99" t="s">
        <v>18</v>
      </c>
      <c r="B65" s="62"/>
      <c r="C65" s="219"/>
      <c r="D65" s="145" t="str">
        <f t="shared" si="0"/>
        <v>5h</v>
      </c>
      <c r="E65" s="30">
        <v>60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145" ht="20.100000000000001" customHeight="1">
      <c r="A66" s="99" t="s">
        <v>19</v>
      </c>
      <c r="B66" s="62"/>
      <c r="C66" s="220"/>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199"/>
      <c r="AOU66" s="200"/>
      <c r="AOV66" s="200"/>
      <c r="AOW66" s="200"/>
      <c r="AOX66" s="200"/>
      <c r="AOY66" s="200"/>
      <c r="AOZ66" s="200"/>
      <c r="APA66" s="200"/>
      <c r="APB66" s="200"/>
      <c r="APC66" s="200"/>
      <c r="APD66" s="200"/>
      <c r="APE66" s="200"/>
      <c r="APF66" s="200"/>
      <c r="APG66" s="200"/>
      <c r="APH66" s="200"/>
      <c r="API66" s="200"/>
      <c r="APJ66" s="200"/>
      <c r="APK66" s="200"/>
      <c r="APL66" s="200"/>
      <c r="APM66" s="200"/>
      <c r="APN66" s="200"/>
      <c r="APO66" s="200"/>
      <c r="APP66" s="200"/>
      <c r="APQ66" s="200"/>
      <c r="APR66" s="200"/>
      <c r="APS66" s="200"/>
      <c r="APT66" s="200"/>
      <c r="APU66" s="200"/>
      <c r="APV66" s="200"/>
      <c r="APW66" s="200"/>
      <c r="APX66" s="200"/>
      <c r="APY66" s="200"/>
      <c r="APZ66" s="200"/>
      <c r="AQA66" s="200"/>
      <c r="AQB66" s="200"/>
      <c r="AQC66" s="200"/>
      <c r="AQD66" s="200"/>
      <c r="AQE66" s="200"/>
      <c r="AQF66" s="200"/>
      <c r="AQG66" s="200"/>
      <c r="AQH66" s="200"/>
      <c r="AQI66" s="200"/>
      <c r="AQJ66" s="200"/>
      <c r="AQK66" s="200"/>
      <c r="AQL66" s="200"/>
      <c r="AQM66" s="200"/>
      <c r="AQN66" s="200"/>
      <c r="AQO66" s="200"/>
      <c r="AQP66" s="200"/>
      <c r="AQQ66" s="200"/>
      <c r="AQR66" s="200"/>
      <c r="AQS66" s="200"/>
      <c r="AQT66" s="200"/>
      <c r="AQU66" s="200"/>
      <c r="AQV66" s="200"/>
      <c r="AQW66" s="200"/>
      <c r="AQX66" s="200"/>
      <c r="AQY66" s="200"/>
      <c r="AQZ66" s="200"/>
      <c r="ARA66" s="200"/>
    </row>
    <row r="67" spans="1:1145" ht="20.100000000000001" customHeight="1">
      <c r="A67" s="99" t="s">
        <v>18</v>
      </c>
      <c r="B67" s="62"/>
      <c r="C67" s="219"/>
      <c r="D67" s="145" t="str">
        <f t="shared" si="0"/>
        <v>5h</v>
      </c>
      <c r="E67" s="38">
        <v>60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145" ht="20.100000000000001" customHeight="1">
      <c r="A68" s="99" t="s">
        <v>19</v>
      </c>
      <c r="B68" s="62"/>
      <c r="C68" s="221"/>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199"/>
      <c r="AOU68" s="200"/>
      <c r="AOV68" s="200"/>
      <c r="AOW68" s="200"/>
      <c r="AOX68" s="200"/>
      <c r="AOY68" s="200"/>
      <c r="AOZ68" s="200"/>
      <c r="APA68" s="200"/>
      <c r="APB68" s="200"/>
      <c r="APC68" s="200"/>
      <c r="APD68" s="200"/>
      <c r="APE68" s="200"/>
      <c r="APF68" s="200"/>
      <c r="APG68" s="200"/>
      <c r="APH68" s="200"/>
      <c r="API68" s="200"/>
      <c r="APJ68" s="200"/>
      <c r="APK68" s="200"/>
      <c r="APL68" s="200"/>
      <c r="APM68" s="200"/>
      <c r="APN68" s="200"/>
      <c r="APO68" s="200"/>
      <c r="APP68" s="200"/>
      <c r="APQ68" s="200"/>
      <c r="APR68" s="200"/>
      <c r="APS68" s="200"/>
      <c r="APT68" s="200"/>
      <c r="APU68" s="200"/>
      <c r="APV68" s="200"/>
      <c r="APW68" s="200"/>
      <c r="APX68" s="200"/>
      <c r="APY68" s="200"/>
      <c r="APZ68" s="200"/>
      <c r="AQA68" s="200"/>
      <c r="AQB68" s="200"/>
      <c r="AQC68" s="200"/>
      <c r="AQD68" s="200"/>
      <c r="AQE68" s="200"/>
      <c r="AQF68" s="200"/>
      <c r="AQG68" s="200"/>
      <c r="AQH68" s="200"/>
      <c r="AQI68" s="200"/>
      <c r="AQJ68" s="200"/>
      <c r="AQK68" s="200"/>
      <c r="AQL68" s="200"/>
      <c r="AQM68" s="200"/>
      <c r="AQN68" s="200"/>
      <c r="AQO68" s="200"/>
      <c r="AQP68" s="200"/>
      <c r="AQQ68" s="200"/>
      <c r="AQR68" s="200"/>
      <c r="AQS68" s="200"/>
      <c r="AQT68" s="200"/>
      <c r="AQU68" s="200"/>
      <c r="AQV68" s="200"/>
      <c r="AQW68" s="200"/>
      <c r="AQX68" s="200"/>
      <c r="AQY68" s="200"/>
      <c r="AQZ68" s="200"/>
      <c r="ARA68" s="200"/>
    </row>
    <row r="69" spans="1:1145" ht="20.100000000000001" customHeight="1">
      <c r="A69" s="99" t="s">
        <v>18</v>
      </c>
      <c r="B69" s="62"/>
      <c r="C69" s="219"/>
      <c r="D69" s="145" t="str">
        <f t="shared" si="0"/>
        <v>5h</v>
      </c>
      <c r="E69" s="30">
        <v>60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145" ht="20.100000000000001" customHeight="1">
      <c r="A70" s="99" t="s">
        <v>19</v>
      </c>
      <c r="B70" s="62"/>
      <c r="C70" s="220"/>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199"/>
      <c r="AOU70" s="200"/>
      <c r="AOV70" s="200"/>
      <c r="AOW70" s="200"/>
      <c r="AOX70" s="200"/>
      <c r="AOY70" s="200"/>
      <c r="AOZ70" s="200"/>
      <c r="APA70" s="200"/>
      <c r="APB70" s="200"/>
      <c r="APC70" s="200"/>
      <c r="APD70" s="200"/>
      <c r="APE70" s="200"/>
      <c r="APF70" s="200"/>
      <c r="APG70" s="200"/>
      <c r="APH70" s="200"/>
      <c r="API70" s="200"/>
      <c r="APJ70" s="200"/>
      <c r="APK70" s="200"/>
      <c r="APL70" s="200"/>
      <c r="APM70" s="200"/>
      <c r="APN70" s="200"/>
      <c r="APO70" s="200"/>
      <c r="APP70" s="200"/>
      <c r="APQ70" s="200"/>
      <c r="APR70" s="200"/>
      <c r="APS70" s="200"/>
      <c r="APT70" s="200"/>
      <c r="APU70" s="200"/>
      <c r="APV70" s="200"/>
      <c r="APW70" s="200"/>
      <c r="APX70" s="200"/>
      <c r="APY70" s="200"/>
      <c r="APZ70" s="200"/>
      <c r="AQA70" s="200"/>
      <c r="AQB70" s="200"/>
      <c r="AQC70" s="200"/>
      <c r="AQD70" s="200"/>
      <c r="AQE70" s="200"/>
      <c r="AQF70" s="200"/>
      <c r="AQG70" s="200"/>
      <c r="AQH70" s="200"/>
      <c r="AQI70" s="200"/>
      <c r="AQJ70" s="200"/>
      <c r="AQK70" s="200"/>
      <c r="AQL70" s="200"/>
      <c r="AQM70" s="200"/>
      <c r="AQN70" s="200"/>
      <c r="AQO70" s="200"/>
      <c r="AQP70" s="200"/>
      <c r="AQQ70" s="200"/>
      <c r="AQR70" s="200"/>
      <c r="AQS70" s="200"/>
      <c r="AQT70" s="200"/>
      <c r="AQU70" s="200"/>
      <c r="AQV70" s="200"/>
      <c r="AQW70" s="200"/>
      <c r="AQX70" s="200"/>
      <c r="AQY70" s="200"/>
      <c r="AQZ70" s="200"/>
      <c r="ARA70" s="200"/>
    </row>
    <row r="71" spans="1:1145" ht="20.100000000000001" customHeight="1">
      <c r="A71" s="99" t="s">
        <v>18</v>
      </c>
      <c r="B71" s="62"/>
      <c r="C71" s="219"/>
      <c r="D71" s="145" t="str">
        <f t="shared" si="0"/>
        <v>5h</v>
      </c>
      <c r="E71" s="38">
        <v>60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145" ht="20.100000000000001" customHeight="1">
      <c r="A72" s="99" t="s">
        <v>19</v>
      </c>
      <c r="B72" s="62"/>
      <c r="C72" s="221"/>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199"/>
      <c r="AOU72" s="200"/>
      <c r="AOV72" s="200"/>
      <c r="AOW72" s="200"/>
      <c r="AOX72" s="200"/>
      <c r="AOY72" s="200"/>
      <c r="AOZ72" s="200"/>
      <c r="APA72" s="200"/>
      <c r="APB72" s="200"/>
      <c r="APC72" s="200"/>
      <c r="APD72" s="200"/>
      <c r="APE72" s="200"/>
      <c r="APF72" s="200"/>
      <c r="APG72" s="200"/>
      <c r="APH72" s="200"/>
      <c r="API72" s="200"/>
      <c r="APJ72" s="200"/>
      <c r="APK72" s="200"/>
      <c r="APL72" s="200"/>
      <c r="APM72" s="200"/>
      <c r="APN72" s="200"/>
      <c r="APO72" s="200"/>
      <c r="APP72" s="200"/>
      <c r="APQ72" s="200"/>
      <c r="APR72" s="200"/>
      <c r="APS72" s="200"/>
      <c r="APT72" s="200"/>
      <c r="APU72" s="200"/>
      <c r="APV72" s="200"/>
      <c r="APW72" s="200"/>
      <c r="APX72" s="200"/>
      <c r="APY72" s="200"/>
      <c r="APZ72" s="200"/>
      <c r="AQA72" s="200"/>
      <c r="AQB72" s="200"/>
      <c r="AQC72" s="200"/>
      <c r="AQD72" s="200"/>
      <c r="AQE72" s="200"/>
      <c r="AQF72" s="200"/>
      <c r="AQG72" s="200"/>
      <c r="AQH72" s="200"/>
      <c r="AQI72" s="200"/>
      <c r="AQJ72" s="200"/>
      <c r="AQK72" s="200"/>
      <c r="AQL72" s="200"/>
      <c r="AQM72" s="200"/>
      <c r="AQN72" s="200"/>
      <c r="AQO72" s="200"/>
      <c r="AQP72" s="200"/>
      <c r="AQQ72" s="200"/>
      <c r="AQR72" s="200"/>
      <c r="AQS72" s="200"/>
      <c r="AQT72" s="200"/>
      <c r="AQU72" s="200"/>
      <c r="AQV72" s="200"/>
      <c r="AQW72" s="200"/>
      <c r="AQX72" s="200"/>
      <c r="AQY72" s="200"/>
      <c r="AQZ72" s="200"/>
      <c r="ARA72" s="200"/>
    </row>
    <row r="73" spans="1:1145" ht="20.100000000000001" customHeight="1">
      <c r="A73" s="99" t="s">
        <v>18</v>
      </c>
      <c r="B73" s="62"/>
      <c r="C73" s="219"/>
      <c r="D73" s="145" t="str">
        <f t="shared" si="0"/>
        <v>5h</v>
      </c>
      <c r="E73" s="30">
        <v>60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145" ht="20.100000000000001" customHeight="1">
      <c r="A74" s="99" t="s">
        <v>19</v>
      </c>
      <c r="B74" s="62"/>
      <c r="C74" s="220"/>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199"/>
      <c r="AOU74" s="200"/>
      <c r="AOV74" s="200"/>
      <c r="AOW74" s="200"/>
      <c r="AOX74" s="200"/>
      <c r="AOY74" s="200"/>
      <c r="AOZ74" s="200"/>
      <c r="APA74" s="200"/>
      <c r="APB74" s="200"/>
      <c r="APC74" s="200"/>
      <c r="APD74" s="200"/>
      <c r="APE74" s="200"/>
      <c r="APF74" s="200"/>
      <c r="APG74" s="200"/>
      <c r="APH74" s="200"/>
      <c r="API74" s="200"/>
      <c r="APJ74" s="200"/>
      <c r="APK74" s="200"/>
      <c r="APL74" s="200"/>
      <c r="APM74" s="200"/>
      <c r="APN74" s="200"/>
      <c r="APO74" s="200"/>
      <c r="APP74" s="200"/>
      <c r="APQ74" s="200"/>
      <c r="APR74" s="200"/>
      <c r="APS74" s="200"/>
      <c r="APT74" s="200"/>
      <c r="APU74" s="200"/>
      <c r="APV74" s="200"/>
      <c r="APW74" s="200"/>
      <c r="APX74" s="200"/>
      <c r="APY74" s="200"/>
      <c r="APZ74" s="200"/>
      <c r="AQA74" s="200"/>
      <c r="AQB74" s="200"/>
      <c r="AQC74" s="200"/>
      <c r="AQD74" s="200"/>
      <c r="AQE74" s="200"/>
      <c r="AQF74" s="200"/>
      <c r="AQG74" s="200"/>
      <c r="AQH74" s="200"/>
      <c r="AQI74" s="200"/>
      <c r="AQJ74" s="200"/>
      <c r="AQK74" s="200"/>
      <c r="AQL74" s="200"/>
      <c r="AQM74" s="200"/>
      <c r="AQN74" s="200"/>
      <c r="AQO74" s="200"/>
      <c r="AQP74" s="200"/>
      <c r="AQQ74" s="200"/>
      <c r="AQR74" s="200"/>
      <c r="AQS74" s="200"/>
      <c r="AQT74" s="200"/>
      <c r="AQU74" s="200"/>
      <c r="AQV74" s="200"/>
      <c r="AQW74" s="200"/>
      <c r="AQX74" s="200"/>
      <c r="AQY74" s="200"/>
      <c r="AQZ74" s="200"/>
      <c r="ARA74" s="200"/>
    </row>
    <row r="75" spans="1:1145" ht="20.100000000000001" customHeight="1">
      <c r="A75" s="99" t="s">
        <v>18</v>
      </c>
      <c r="B75" s="62"/>
      <c r="C75" s="219"/>
      <c r="D75" s="145" t="str">
        <f t="shared" si="0"/>
        <v>5h</v>
      </c>
      <c r="E75" s="30">
        <v>60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145" ht="20.100000000000001" customHeight="1">
      <c r="A76" s="99" t="s">
        <v>19</v>
      </c>
      <c r="B76" s="62"/>
      <c r="C76" s="220"/>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199"/>
      <c r="AOU76" s="200"/>
      <c r="AOV76" s="200"/>
      <c r="AOW76" s="200"/>
      <c r="AOX76" s="200"/>
      <c r="AOY76" s="200"/>
      <c r="AOZ76" s="200"/>
      <c r="APA76" s="200"/>
      <c r="APB76" s="200"/>
      <c r="APC76" s="200"/>
      <c r="APD76" s="200"/>
      <c r="APE76" s="200"/>
      <c r="APF76" s="200"/>
      <c r="APG76" s="200"/>
      <c r="APH76" s="200"/>
      <c r="API76" s="200"/>
      <c r="APJ76" s="200"/>
      <c r="APK76" s="200"/>
      <c r="APL76" s="200"/>
      <c r="APM76" s="200"/>
      <c r="APN76" s="200"/>
      <c r="APO76" s="200"/>
      <c r="APP76" s="200"/>
      <c r="APQ76" s="200"/>
      <c r="APR76" s="200"/>
      <c r="APS76" s="200"/>
      <c r="APT76" s="200"/>
      <c r="APU76" s="200"/>
      <c r="APV76" s="200"/>
      <c r="APW76" s="200"/>
      <c r="APX76" s="200"/>
      <c r="APY76" s="200"/>
      <c r="APZ76" s="200"/>
      <c r="AQA76" s="200"/>
      <c r="AQB76" s="200"/>
      <c r="AQC76" s="200"/>
      <c r="AQD76" s="200"/>
      <c r="AQE76" s="200"/>
      <c r="AQF76" s="200"/>
      <c r="AQG76" s="200"/>
      <c r="AQH76" s="200"/>
      <c r="AQI76" s="200"/>
      <c r="AQJ76" s="200"/>
      <c r="AQK76" s="200"/>
      <c r="AQL76" s="200"/>
      <c r="AQM76" s="200"/>
      <c r="AQN76" s="200"/>
      <c r="AQO76" s="200"/>
      <c r="AQP76" s="200"/>
      <c r="AQQ76" s="200"/>
      <c r="AQR76" s="200"/>
      <c r="AQS76" s="200"/>
      <c r="AQT76" s="200"/>
      <c r="AQU76" s="200"/>
      <c r="AQV76" s="200"/>
      <c r="AQW76" s="200"/>
      <c r="AQX76" s="200"/>
      <c r="AQY76" s="200"/>
      <c r="AQZ76" s="200"/>
      <c r="ARA76" s="200"/>
    </row>
    <row r="77" spans="1:1145" ht="20.100000000000001" customHeight="1">
      <c r="A77" s="99" t="s">
        <v>18</v>
      </c>
      <c r="B77" s="62"/>
      <c r="C77" s="219"/>
      <c r="D77" s="145" t="str">
        <f t="shared" si="0"/>
        <v>5h</v>
      </c>
      <c r="E77" s="38">
        <v>60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145" ht="20.100000000000001" customHeight="1">
      <c r="A78" s="99" t="s">
        <v>19</v>
      </c>
      <c r="B78" s="62"/>
      <c r="C78" s="221"/>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199"/>
      <c r="AOU78" s="200"/>
      <c r="AOV78" s="200"/>
      <c r="AOW78" s="200"/>
      <c r="AOX78" s="200"/>
      <c r="AOY78" s="200"/>
      <c r="AOZ78" s="200"/>
      <c r="APA78" s="200"/>
      <c r="APB78" s="200"/>
      <c r="APC78" s="200"/>
      <c r="APD78" s="200"/>
      <c r="APE78" s="200"/>
      <c r="APF78" s="200"/>
      <c r="APG78" s="200"/>
      <c r="APH78" s="200"/>
      <c r="API78" s="200"/>
      <c r="APJ78" s="200"/>
      <c r="APK78" s="200"/>
      <c r="APL78" s="200"/>
      <c r="APM78" s="200"/>
      <c r="APN78" s="200"/>
      <c r="APO78" s="200"/>
      <c r="APP78" s="200"/>
      <c r="APQ78" s="200"/>
      <c r="APR78" s="200"/>
      <c r="APS78" s="200"/>
      <c r="APT78" s="200"/>
      <c r="APU78" s="200"/>
      <c r="APV78" s="200"/>
      <c r="APW78" s="200"/>
      <c r="APX78" s="200"/>
      <c r="APY78" s="200"/>
      <c r="APZ78" s="200"/>
      <c r="AQA78" s="200"/>
      <c r="AQB78" s="200"/>
      <c r="AQC78" s="200"/>
      <c r="AQD78" s="200"/>
      <c r="AQE78" s="200"/>
      <c r="AQF78" s="200"/>
      <c r="AQG78" s="200"/>
      <c r="AQH78" s="200"/>
      <c r="AQI78" s="200"/>
      <c r="AQJ78" s="200"/>
      <c r="AQK78" s="200"/>
      <c r="AQL78" s="200"/>
      <c r="AQM78" s="200"/>
      <c r="AQN78" s="200"/>
      <c r="AQO78" s="200"/>
      <c r="AQP78" s="200"/>
      <c r="AQQ78" s="200"/>
      <c r="AQR78" s="200"/>
      <c r="AQS78" s="200"/>
      <c r="AQT78" s="200"/>
      <c r="AQU78" s="200"/>
      <c r="AQV78" s="200"/>
      <c r="AQW78" s="200"/>
      <c r="AQX78" s="200"/>
      <c r="AQY78" s="200"/>
      <c r="AQZ78" s="200"/>
      <c r="ARA78" s="200"/>
    </row>
    <row r="79" spans="1:1145" ht="20.100000000000001" customHeight="1">
      <c r="A79" s="99" t="s">
        <v>18</v>
      </c>
      <c r="B79" s="62"/>
      <c r="C79" s="219"/>
      <c r="D79" s="145" t="str">
        <f t="shared" si="0"/>
        <v>5h</v>
      </c>
      <c r="E79" s="38">
        <v>60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145" ht="20.100000000000001" customHeight="1">
      <c r="A80" s="99" t="s">
        <v>19</v>
      </c>
      <c r="B80" s="62"/>
      <c r="C80" s="220"/>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199"/>
      <c r="AOU80" s="200"/>
      <c r="AOV80" s="200"/>
      <c r="AOW80" s="200"/>
      <c r="AOX80" s="200"/>
      <c r="AOY80" s="200"/>
      <c r="AOZ80" s="200"/>
      <c r="APA80" s="200"/>
      <c r="APB80" s="200"/>
      <c r="APC80" s="200"/>
      <c r="APD80" s="200"/>
      <c r="APE80" s="200"/>
      <c r="APF80" s="200"/>
      <c r="APG80" s="200"/>
      <c r="APH80" s="200"/>
      <c r="API80" s="200"/>
      <c r="APJ80" s="200"/>
      <c r="APK80" s="200"/>
      <c r="APL80" s="200"/>
      <c r="APM80" s="200"/>
      <c r="APN80" s="200"/>
      <c r="APO80" s="200"/>
      <c r="APP80" s="200"/>
      <c r="APQ80" s="200"/>
      <c r="APR80" s="200"/>
      <c r="APS80" s="200"/>
      <c r="APT80" s="200"/>
      <c r="APU80" s="200"/>
      <c r="APV80" s="200"/>
      <c r="APW80" s="200"/>
      <c r="APX80" s="200"/>
      <c r="APY80" s="200"/>
      <c r="APZ80" s="200"/>
      <c r="AQA80" s="200"/>
      <c r="AQB80" s="200"/>
      <c r="AQC80" s="200"/>
      <c r="AQD80" s="200"/>
      <c r="AQE80" s="200"/>
      <c r="AQF80" s="200"/>
      <c r="AQG80" s="200"/>
      <c r="AQH80" s="200"/>
      <c r="AQI80" s="200"/>
      <c r="AQJ80" s="200"/>
      <c r="AQK80" s="200"/>
      <c r="AQL80" s="200"/>
      <c r="AQM80" s="200"/>
      <c r="AQN80" s="200"/>
      <c r="AQO80" s="200"/>
      <c r="AQP80" s="200"/>
      <c r="AQQ80" s="200"/>
      <c r="AQR80" s="200"/>
      <c r="AQS80" s="200"/>
      <c r="AQT80" s="200"/>
      <c r="AQU80" s="200"/>
      <c r="AQV80" s="200"/>
      <c r="AQW80" s="200"/>
      <c r="AQX80" s="200"/>
      <c r="AQY80" s="200"/>
      <c r="AQZ80" s="200"/>
      <c r="ARA80" s="200"/>
    </row>
    <row r="81" spans="1:1145" ht="20.100000000000001" customHeight="1">
      <c r="A81" s="99" t="s">
        <v>18</v>
      </c>
      <c r="B81" s="62"/>
      <c r="C81" s="219"/>
      <c r="D81" s="145" t="str">
        <f t="shared" si="1"/>
        <v>5h</v>
      </c>
      <c r="E81" s="30">
        <v>60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145" ht="20.100000000000001" customHeight="1">
      <c r="A82" s="99" t="s">
        <v>19</v>
      </c>
      <c r="B82" s="62"/>
      <c r="C82" s="220"/>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199"/>
      <c r="AOU82" s="200"/>
      <c r="AOV82" s="200"/>
      <c r="AOW82" s="200"/>
      <c r="AOX82" s="200"/>
      <c r="AOY82" s="200"/>
      <c r="AOZ82" s="200"/>
      <c r="APA82" s="200"/>
      <c r="APB82" s="200"/>
      <c r="APC82" s="200"/>
      <c r="APD82" s="200"/>
      <c r="APE82" s="200"/>
      <c r="APF82" s="200"/>
      <c r="APG82" s="200"/>
      <c r="APH82" s="200"/>
      <c r="API82" s="200"/>
      <c r="APJ82" s="200"/>
      <c r="APK82" s="200"/>
      <c r="APL82" s="200"/>
      <c r="APM82" s="200"/>
      <c r="APN82" s="200"/>
      <c r="APO82" s="200"/>
      <c r="APP82" s="200"/>
      <c r="APQ82" s="200"/>
      <c r="APR82" s="200"/>
      <c r="APS82" s="200"/>
      <c r="APT82" s="200"/>
      <c r="APU82" s="200"/>
      <c r="APV82" s="200"/>
      <c r="APW82" s="200"/>
      <c r="APX82" s="200"/>
      <c r="APY82" s="200"/>
      <c r="APZ82" s="200"/>
      <c r="AQA82" s="200"/>
      <c r="AQB82" s="200"/>
      <c r="AQC82" s="200"/>
      <c r="AQD82" s="200"/>
      <c r="AQE82" s="200"/>
      <c r="AQF82" s="200"/>
      <c r="AQG82" s="200"/>
      <c r="AQH82" s="200"/>
      <c r="AQI82" s="200"/>
      <c r="AQJ82" s="200"/>
      <c r="AQK82" s="200"/>
      <c r="AQL82" s="200"/>
      <c r="AQM82" s="200"/>
      <c r="AQN82" s="200"/>
      <c r="AQO82" s="200"/>
      <c r="AQP82" s="200"/>
      <c r="AQQ82" s="200"/>
      <c r="AQR82" s="200"/>
      <c r="AQS82" s="200"/>
      <c r="AQT82" s="200"/>
      <c r="AQU82" s="200"/>
      <c r="AQV82" s="200"/>
      <c r="AQW82" s="200"/>
      <c r="AQX82" s="200"/>
      <c r="AQY82" s="200"/>
      <c r="AQZ82" s="200"/>
      <c r="ARA82" s="200"/>
    </row>
    <row r="83" spans="1:1145" ht="20.100000000000001" customHeight="1">
      <c r="A83" s="99" t="s">
        <v>18</v>
      </c>
      <c r="B83" s="62"/>
      <c r="C83" s="219"/>
      <c r="D83" s="145" t="str">
        <f t="shared" si="1"/>
        <v>5h</v>
      </c>
      <c r="E83" s="38">
        <v>60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145" ht="20.100000000000001" customHeight="1">
      <c r="A84" s="99" t="s">
        <v>19</v>
      </c>
      <c r="B84" s="62"/>
      <c r="C84" s="221"/>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199"/>
      <c r="AOU84" s="200"/>
      <c r="AOV84" s="200"/>
      <c r="AOW84" s="200"/>
      <c r="AOX84" s="200"/>
      <c r="AOY84" s="200"/>
      <c r="AOZ84" s="200"/>
      <c r="APA84" s="200"/>
      <c r="APB84" s="200"/>
      <c r="APC84" s="200"/>
      <c r="APD84" s="200"/>
      <c r="APE84" s="200"/>
      <c r="APF84" s="200"/>
      <c r="APG84" s="200"/>
      <c r="APH84" s="200"/>
      <c r="API84" s="200"/>
      <c r="APJ84" s="200"/>
      <c r="APK84" s="200"/>
      <c r="APL84" s="200"/>
      <c r="APM84" s="200"/>
      <c r="APN84" s="200"/>
      <c r="APO84" s="200"/>
      <c r="APP84" s="200"/>
      <c r="APQ84" s="200"/>
      <c r="APR84" s="200"/>
      <c r="APS84" s="200"/>
      <c r="APT84" s="200"/>
      <c r="APU84" s="200"/>
      <c r="APV84" s="200"/>
      <c r="APW84" s="200"/>
      <c r="APX84" s="200"/>
      <c r="APY84" s="200"/>
      <c r="APZ84" s="200"/>
      <c r="AQA84" s="200"/>
      <c r="AQB84" s="200"/>
      <c r="AQC84" s="200"/>
      <c r="AQD84" s="200"/>
      <c r="AQE84" s="200"/>
      <c r="AQF84" s="200"/>
      <c r="AQG84" s="200"/>
      <c r="AQH84" s="200"/>
      <c r="AQI84" s="200"/>
      <c r="AQJ84" s="200"/>
      <c r="AQK84" s="200"/>
      <c r="AQL84" s="200"/>
      <c r="AQM84" s="200"/>
      <c r="AQN84" s="200"/>
      <c r="AQO84" s="200"/>
      <c r="AQP84" s="200"/>
      <c r="AQQ84" s="200"/>
      <c r="AQR84" s="200"/>
      <c r="AQS84" s="200"/>
      <c r="AQT84" s="200"/>
      <c r="AQU84" s="200"/>
      <c r="AQV84" s="200"/>
      <c r="AQW84" s="200"/>
      <c r="AQX84" s="200"/>
      <c r="AQY84" s="200"/>
      <c r="AQZ84" s="200"/>
      <c r="ARA84" s="200"/>
    </row>
    <row r="85" spans="1:1145" ht="20.100000000000001" customHeight="1">
      <c r="A85" s="99" t="s">
        <v>18</v>
      </c>
      <c r="B85" s="62"/>
      <c r="C85" s="219"/>
      <c r="D85" s="145" t="str">
        <f t="shared" si="1"/>
        <v>5h</v>
      </c>
      <c r="E85" s="30">
        <v>60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145" ht="20.100000000000001" customHeight="1">
      <c r="A86" s="99" t="s">
        <v>19</v>
      </c>
      <c r="B86" s="62"/>
      <c r="C86" s="220"/>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199"/>
      <c r="AOU86" s="200"/>
      <c r="AOV86" s="200"/>
      <c r="AOW86" s="200"/>
      <c r="AOX86" s="200"/>
      <c r="AOY86" s="200"/>
      <c r="AOZ86" s="200"/>
      <c r="APA86" s="200"/>
      <c r="APB86" s="200"/>
      <c r="APC86" s="200"/>
      <c r="APD86" s="200"/>
      <c r="APE86" s="200"/>
      <c r="APF86" s="200"/>
      <c r="APG86" s="200"/>
      <c r="APH86" s="200"/>
      <c r="API86" s="200"/>
      <c r="APJ86" s="200"/>
      <c r="APK86" s="200"/>
      <c r="APL86" s="200"/>
      <c r="APM86" s="200"/>
      <c r="APN86" s="200"/>
      <c r="APO86" s="200"/>
      <c r="APP86" s="200"/>
      <c r="APQ86" s="200"/>
      <c r="APR86" s="200"/>
      <c r="APS86" s="200"/>
      <c r="APT86" s="200"/>
      <c r="APU86" s="200"/>
      <c r="APV86" s="200"/>
      <c r="APW86" s="200"/>
      <c r="APX86" s="200"/>
      <c r="APY86" s="200"/>
      <c r="APZ86" s="200"/>
      <c r="AQA86" s="200"/>
      <c r="AQB86" s="200"/>
      <c r="AQC86" s="200"/>
      <c r="AQD86" s="200"/>
      <c r="AQE86" s="200"/>
      <c r="AQF86" s="200"/>
      <c r="AQG86" s="200"/>
      <c r="AQH86" s="200"/>
      <c r="AQI86" s="200"/>
      <c r="AQJ86" s="200"/>
      <c r="AQK86" s="200"/>
      <c r="AQL86" s="200"/>
      <c r="AQM86" s="200"/>
      <c r="AQN86" s="200"/>
      <c r="AQO86" s="200"/>
      <c r="AQP86" s="200"/>
      <c r="AQQ86" s="200"/>
      <c r="AQR86" s="200"/>
      <c r="AQS86" s="200"/>
      <c r="AQT86" s="200"/>
      <c r="AQU86" s="200"/>
      <c r="AQV86" s="200"/>
      <c r="AQW86" s="200"/>
      <c r="AQX86" s="200"/>
      <c r="AQY86" s="200"/>
      <c r="AQZ86" s="200"/>
      <c r="ARA86" s="200"/>
    </row>
    <row r="87" spans="1:1145" ht="20.100000000000001" customHeight="1">
      <c r="A87" s="99" t="s">
        <v>18</v>
      </c>
      <c r="B87" s="62"/>
      <c r="C87" s="219"/>
      <c r="D87" s="145" t="str">
        <f t="shared" si="1"/>
        <v>5h</v>
      </c>
      <c r="E87" s="38">
        <v>60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145" ht="20.100000000000001" customHeight="1">
      <c r="A88" s="99" t="s">
        <v>19</v>
      </c>
      <c r="B88" s="62"/>
      <c r="C88" s="221"/>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199"/>
      <c r="AOU88" s="200"/>
      <c r="AOV88" s="200"/>
      <c r="AOW88" s="200"/>
      <c r="AOX88" s="200"/>
      <c r="AOY88" s="200"/>
      <c r="AOZ88" s="200"/>
      <c r="APA88" s="200"/>
      <c r="APB88" s="200"/>
      <c r="APC88" s="200"/>
      <c r="APD88" s="200"/>
      <c r="APE88" s="200"/>
      <c r="APF88" s="200"/>
      <c r="APG88" s="200"/>
      <c r="APH88" s="200"/>
      <c r="API88" s="200"/>
      <c r="APJ88" s="200"/>
      <c r="APK88" s="200"/>
      <c r="APL88" s="200"/>
      <c r="APM88" s="200"/>
      <c r="APN88" s="200"/>
      <c r="APO88" s="200"/>
      <c r="APP88" s="200"/>
      <c r="APQ88" s="200"/>
      <c r="APR88" s="200"/>
      <c r="APS88" s="200"/>
      <c r="APT88" s="200"/>
      <c r="APU88" s="200"/>
      <c r="APV88" s="200"/>
      <c r="APW88" s="200"/>
      <c r="APX88" s="200"/>
      <c r="APY88" s="200"/>
      <c r="APZ88" s="200"/>
      <c r="AQA88" s="200"/>
      <c r="AQB88" s="200"/>
      <c r="AQC88" s="200"/>
      <c r="AQD88" s="200"/>
      <c r="AQE88" s="200"/>
      <c r="AQF88" s="200"/>
      <c r="AQG88" s="200"/>
      <c r="AQH88" s="200"/>
      <c r="AQI88" s="200"/>
      <c r="AQJ88" s="200"/>
      <c r="AQK88" s="200"/>
      <c r="AQL88" s="200"/>
      <c r="AQM88" s="200"/>
      <c r="AQN88" s="200"/>
      <c r="AQO88" s="200"/>
      <c r="AQP88" s="200"/>
      <c r="AQQ88" s="200"/>
      <c r="AQR88" s="200"/>
      <c r="AQS88" s="200"/>
      <c r="AQT88" s="200"/>
      <c r="AQU88" s="200"/>
      <c r="AQV88" s="200"/>
      <c r="AQW88" s="200"/>
      <c r="AQX88" s="200"/>
      <c r="AQY88" s="200"/>
      <c r="AQZ88" s="200"/>
      <c r="ARA88" s="200"/>
    </row>
    <row r="89" spans="1:1145" ht="20.100000000000001" customHeight="1">
      <c r="A89" s="99" t="s">
        <v>18</v>
      </c>
      <c r="B89" s="62"/>
      <c r="C89" s="219"/>
      <c r="D89" s="145" t="str">
        <f t="shared" si="1"/>
        <v>5h</v>
      </c>
      <c r="E89" s="30">
        <v>60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145" ht="20.100000000000001" customHeight="1">
      <c r="A90" s="99" t="s">
        <v>19</v>
      </c>
      <c r="B90" s="62"/>
      <c r="C90" s="220"/>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199"/>
      <c r="AOU90" s="200"/>
      <c r="AOV90" s="200"/>
      <c r="AOW90" s="200"/>
      <c r="AOX90" s="200"/>
      <c r="AOY90" s="200"/>
      <c r="AOZ90" s="200"/>
      <c r="APA90" s="200"/>
      <c r="APB90" s="200"/>
      <c r="APC90" s="200"/>
      <c r="APD90" s="200"/>
      <c r="APE90" s="200"/>
      <c r="APF90" s="200"/>
      <c r="APG90" s="200"/>
      <c r="APH90" s="200"/>
      <c r="API90" s="200"/>
      <c r="APJ90" s="200"/>
      <c r="APK90" s="200"/>
      <c r="APL90" s="200"/>
      <c r="APM90" s="200"/>
      <c r="APN90" s="200"/>
      <c r="APO90" s="200"/>
      <c r="APP90" s="200"/>
      <c r="APQ90" s="200"/>
      <c r="APR90" s="200"/>
      <c r="APS90" s="200"/>
      <c r="APT90" s="200"/>
      <c r="APU90" s="200"/>
      <c r="APV90" s="200"/>
      <c r="APW90" s="200"/>
      <c r="APX90" s="200"/>
      <c r="APY90" s="200"/>
      <c r="APZ90" s="200"/>
      <c r="AQA90" s="200"/>
      <c r="AQB90" s="200"/>
      <c r="AQC90" s="200"/>
      <c r="AQD90" s="200"/>
      <c r="AQE90" s="200"/>
      <c r="AQF90" s="200"/>
      <c r="AQG90" s="200"/>
      <c r="AQH90" s="200"/>
      <c r="AQI90" s="200"/>
      <c r="AQJ90" s="200"/>
      <c r="AQK90" s="200"/>
      <c r="AQL90" s="200"/>
      <c r="AQM90" s="200"/>
      <c r="AQN90" s="200"/>
      <c r="AQO90" s="200"/>
      <c r="AQP90" s="200"/>
      <c r="AQQ90" s="200"/>
      <c r="AQR90" s="200"/>
      <c r="AQS90" s="200"/>
      <c r="AQT90" s="200"/>
      <c r="AQU90" s="200"/>
      <c r="AQV90" s="200"/>
      <c r="AQW90" s="200"/>
      <c r="AQX90" s="200"/>
      <c r="AQY90" s="200"/>
      <c r="AQZ90" s="200"/>
      <c r="ARA90" s="200"/>
    </row>
    <row r="91" spans="1:1145" ht="20.100000000000001" customHeight="1">
      <c r="A91" s="99" t="s">
        <v>18</v>
      </c>
      <c r="B91" s="62"/>
      <c r="C91" s="219"/>
      <c r="D91" s="145" t="str">
        <f t="shared" si="1"/>
        <v>5h</v>
      </c>
      <c r="E91" s="30">
        <v>60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145" ht="20.100000000000001" customHeight="1">
      <c r="A92" s="99" t="s">
        <v>19</v>
      </c>
      <c r="B92" s="62"/>
      <c r="C92" s="220"/>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199"/>
      <c r="AOU92" s="200"/>
      <c r="AOV92" s="200"/>
      <c r="AOW92" s="200"/>
      <c r="AOX92" s="200"/>
      <c r="AOY92" s="200"/>
      <c r="AOZ92" s="200"/>
      <c r="APA92" s="200"/>
      <c r="APB92" s="200"/>
      <c r="APC92" s="200"/>
      <c r="APD92" s="200"/>
      <c r="APE92" s="200"/>
      <c r="APF92" s="200"/>
      <c r="APG92" s="200"/>
      <c r="APH92" s="200"/>
      <c r="API92" s="200"/>
      <c r="APJ92" s="200"/>
      <c r="APK92" s="200"/>
      <c r="APL92" s="200"/>
      <c r="APM92" s="200"/>
      <c r="APN92" s="200"/>
      <c r="APO92" s="200"/>
      <c r="APP92" s="200"/>
      <c r="APQ92" s="200"/>
      <c r="APR92" s="200"/>
      <c r="APS92" s="200"/>
      <c r="APT92" s="200"/>
      <c r="APU92" s="200"/>
      <c r="APV92" s="200"/>
      <c r="APW92" s="200"/>
      <c r="APX92" s="200"/>
      <c r="APY92" s="200"/>
      <c r="APZ92" s="200"/>
      <c r="AQA92" s="200"/>
      <c r="AQB92" s="200"/>
      <c r="AQC92" s="200"/>
      <c r="AQD92" s="200"/>
      <c r="AQE92" s="200"/>
      <c r="AQF92" s="200"/>
      <c r="AQG92" s="200"/>
      <c r="AQH92" s="200"/>
      <c r="AQI92" s="200"/>
      <c r="AQJ92" s="200"/>
      <c r="AQK92" s="200"/>
      <c r="AQL92" s="200"/>
      <c r="AQM92" s="200"/>
      <c r="AQN92" s="200"/>
      <c r="AQO92" s="200"/>
      <c r="AQP92" s="200"/>
      <c r="AQQ92" s="200"/>
      <c r="AQR92" s="200"/>
      <c r="AQS92" s="200"/>
      <c r="AQT92" s="200"/>
      <c r="AQU92" s="200"/>
      <c r="AQV92" s="200"/>
      <c r="AQW92" s="200"/>
      <c r="AQX92" s="200"/>
      <c r="AQY92" s="200"/>
      <c r="AQZ92" s="200"/>
      <c r="ARA92" s="200"/>
    </row>
    <row r="93" spans="1:1145" ht="20.100000000000001" customHeight="1">
      <c r="A93" s="99" t="s">
        <v>18</v>
      </c>
      <c r="B93" s="62"/>
      <c r="C93" s="219"/>
      <c r="D93" s="145" t="str">
        <f t="shared" si="1"/>
        <v>5h</v>
      </c>
      <c r="E93" s="38">
        <v>60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145" ht="20.100000000000001" customHeight="1">
      <c r="A94" s="99" t="s">
        <v>19</v>
      </c>
      <c r="B94" s="62"/>
      <c r="C94" s="221"/>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199"/>
      <c r="AOU94" s="200"/>
      <c r="AOV94" s="200"/>
      <c r="AOW94" s="200"/>
      <c r="AOX94" s="200"/>
      <c r="AOY94" s="200"/>
      <c r="AOZ94" s="200"/>
      <c r="APA94" s="200"/>
      <c r="APB94" s="200"/>
      <c r="APC94" s="200"/>
      <c r="APD94" s="200"/>
      <c r="APE94" s="200"/>
      <c r="APF94" s="200"/>
      <c r="APG94" s="200"/>
      <c r="APH94" s="200"/>
      <c r="API94" s="200"/>
      <c r="APJ94" s="200"/>
      <c r="APK94" s="200"/>
      <c r="APL94" s="200"/>
      <c r="APM94" s="200"/>
      <c r="APN94" s="200"/>
      <c r="APO94" s="200"/>
      <c r="APP94" s="200"/>
      <c r="APQ94" s="200"/>
      <c r="APR94" s="200"/>
      <c r="APS94" s="200"/>
      <c r="APT94" s="200"/>
      <c r="APU94" s="200"/>
      <c r="APV94" s="200"/>
      <c r="APW94" s="200"/>
      <c r="APX94" s="200"/>
      <c r="APY94" s="200"/>
      <c r="APZ94" s="200"/>
      <c r="AQA94" s="200"/>
      <c r="AQB94" s="200"/>
      <c r="AQC94" s="200"/>
      <c r="AQD94" s="200"/>
      <c r="AQE94" s="200"/>
      <c r="AQF94" s="200"/>
      <c r="AQG94" s="200"/>
      <c r="AQH94" s="200"/>
      <c r="AQI94" s="200"/>
      <c r="AQJ94" s="200"/>
      <c r="AQK94" s="200"/>
      <c r="AQL94" s="200"/>
      <c r="AQM94" s="200"/>
      <c r="AQN94" s="200"/>
      <c r="AQO94" s="200"/>
      <c r="AQP94" s="200"/>
      <c r="AQQ94" s="200"/>
      <c r="AQR94" s="200"/>
      <c r="AQS94" s="200"/>
      <c r="AQT94" s="200"/>
      <c r="AQU94" s="200"/>
      <c r="AQV94" s="200"/>
      <c r="AQW94" s="200"/>
      <c r="AQX94" s="200"/>
      <c r="AQY94" s="200"/>
      <c r="AQZ94" s="200"/>
      <c r="ARA94" s="200"/>
    </row>
    <row r="95" spans="1:1145" ht="20.100000000000001" customHeight="1">
      <c r="B95" s="95"/>
      <c r="C95" s="211" t="s">
        <v>8</v>
      </c>
      <c r="D95" s="212"/>
      <c r="E95" s="116">
        <f>SUM(E15,E17,E19,E21,E23,E25,E27,E29,E31,E33,E35,E37,E39,E41,E43,E45,E47,E49,E51,E53,E55,E57,E59,E61,E63,E65,E67,E69,E71,E73,E75,E77,E79,E81,E83,E85,E87,E89,E91,E93)</f>
        <v>3042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145" ht="20.100000000000001" customHeight="1" thickBot="1">
      <c r="B96" s="95"/>
      <c r="C96" s="213"/>
      <c r="D96" s="214"/>
      <c r="E96" s="122" t="str">
        <f xml:space="preserve"> setValueToTime(E95)</f>
        <v>253h30min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15" t="s">
        <v>9</v>
      </c>
      <c r="D97" s="216"/>
      <c r="E97" s="117">
        <f>SUM(E16,E18,E20,E22,E24,E26,E28,E30,E32,E34,E36,E38,E40,E42,E44,E46,E48,E50,E52,E54,E56,E58,E60,E62,E64,E66,E68,E70,E72,E74,E76,E78,E80,E82,E84,E86,E88,E90,E92,E94)</f>
        <v>609</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17"/>
      <c r="D98" s="218"/>
      <c r="E98" s="121" t="str">
        <f xml:space="preserve"> setValueToTime(E97)</f>
        <v>50h45min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73"/>
  <sheetViews>
    <sheetView showGridLines="0" zoomScaleNormal="100" zoomScaleSheetLayoutView="98" workbookViewId="0">
      <pane ySplit="1" topLeftCell="A359" activePane="bottomLeft" state="frozen"/>
      <selection activeCell="BC13" sqref="BC13"/>
      <selection pane="bottomLeft" activeCell="G373" sqref="G373"/>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31</v>
      </c>
      <c r="C2" s="162"/>
      <c r="D2" s="81" t="s">
        <v>14</v>
      </c>
      <c r="E2" s="93">
        <v>44259</v>
      </c>
      <c r="F2" s="125" t="s">
        <v>75</v>
      </c>
      <c r="G2" s="45"/>
    </row>
    <row r="3" spans="1:7" s="46" customFormat="1" ht="30" customHeight="1" thickBot="1">
      <c r="A3" s="79" t="s">
        <v>4</v>
      </c>
      <c r="B3" s="149" t="s">
        <v>38</v>
      </c>
      <c r="C3" s="150"/>
      <c r="D3" s="79" t="s">
        <v>12</v>
      </c>
      <c r="E3" s="237" t="s">
        <v>13</v>
      </c>
      <c r="F3" s="238"/>
      <c r="G3" s="45"/>
    </row>
    <row r="4" spans="1:7" s="51" customFormat="1">
      <c r="A4" s="47" t="s">
        <v>50</v>
      </c>
      <c r="B4" s="48">
        <v>33</v>
      </c>
      <c r="C4" s="151" t="str">
        <f xml:space="preserve"> IF(B4="","",setValueToTime(B4))</f>
        <v>2h45min</v>
      </c>
      <c r="D4" s="165" t="s">
        <v>198</v>
      </c>
      <c r="E4" s="239"/>
      <c r="F4" s="240"/>
      <c r="G4" s="50"/>
    </row>
    <row r="5" spans="1:7" s="51" customFormat="1">
      <c r="A5" s="52" t="s">
        <v>15</v>
      </c>
      <c r="B5" s="53">
        <v>3</v>
      </c>
      <c r="C5" s="152" t="str">
        <f xml:space="preserve"> IF(B5="","",setValueToTime(B5))</f>
        <v>0h15min</v>
      </c>
      <c r="D5" s="166" t="s">
        <v>106</v>
      </c>
      <c r="E5" s="241"/>
      <c r="F5" s="242"/>
      <c r="G5" s="50"/>
    </row>
    <row r="6" spans="1:7" s="51" customFormat="1">
      <c r="A6" s="52"/>
      <c r="B6" s="53"/>
      <c r="C6" s="152" t="str">
        <f t="shared" ref="C6:C11" si="0" xml:space="preserve"> IF(B6="","",setValueToTime(B6))</f>
        <v/>
      </c>
      <c r="D6" s="54"/>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30</v>
      </c>
      <c r="C14" s="162"/>
      <c r="D14" s="81" t="s">
        <v>14</v>
      </c>
      <c r="E14" s="93">
        <v>44259</v>
      </c>
      <c r="F14" s="125" t="s">
        <v>74</v>
      </c>
      <c r="G14" s="45"/>
    </row>
    <row r="15" spans="1:7" s="46" customFormat="1" ht="30" customHeight="1" thickBot="1">
      <c r="A15" s="79" t="s">
        <v>4</v>
      </c>
      <c r="B15" s="149" t="s">
        <v>38</v>
      </c>
      <c r="C15" s="150"/>
      <c r="D15" s="79" t="s">
        <v>12</v>
      </c>
      <c r="E15" s="237" t="s">
        <v>13</v>
      </c>
      <c r="F15" s="238"/>
      <c r="G15" s="45"/>
    </row>
    <row r="16" spans="1:7" s="51" customFormat="1">
      <c r="A16" s="47" t="s">
        <v>66</v>
      </c>
      <c r="B16" s="48">
        <v>42</v>
      </c>
      <c r="C16" s="151" t="str">
        <f xml:space="preserve"> IF(B16="","",setValueToTime(B16))</f>
        <v>3h30min</v>
      </c>
      <c r="D16" s="165" t="s">
        <v>197</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10" t="s">
        <v>27</v>
      </c>
      <c r="B24" s="83">
        <f>SUM(B16:B23)</f>
        <v>45</v>
      </c>
      <c r="C24" s="110" t="str">
        <f xml:space="preserve"> setValueToTime(B24)</f>
        <v>3h45min</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29</v>
      </c>
      <c r="C26" s="162"/>
      <c r="D26" s="81" t="s">
        <v>14</v>
      </c>
      <c r="E26" s="93">
        <v>44258</v>
      </c>
      <c r="F26" s="125" t="s">
        <v>75</v>
      </c>
      <c r="G26" s="45"/>
    </row>
    <row r="27" spans="1:7" s="46" customFormat="1" ht="30" customHeight="1" thickBot="1">
      <c r="A27" s="79" t="s">
        <v>4</v>
      </c>
      <c r="B27" s="149" t="s">
        <v>38</v>
      </c>
      <c r="C27" s="150"/>
      <c r="D27" s="79" t="s">
        <v>12</v>
      </c>
      <c r="E27" s="237" t="s">
        <v>13</v>
      </c>
      <c r="F27" s="238"/>
      <c r="G27" s="45"/>
    </row>
    <row r="28" spans="1:7" s="51" customFormat="1">
      <c r="A28" s="47" t="s">
        <v>50</v>
      </c>
      <c r="B28" s="48">
        <v>33</v>
      </c>
      <c r="C28" s="151" t="str">
        <f xml:space="preserve"> IF(B28="","",setValueToTime(B28))</f>
        <v>2h45min</v>
      </c>
      <c r="D28" s="165" t="s">
        <v>189</v>
      </c>
      <c r="E28" s="239"/>
      <c r="F28" s="240"/>
      <c r="G28" s="50"/>
    </row>
    <row r="29" spans="1:7" s="51" customFormat="1">
      <c r="A29" s="52" t="s">
        <v>15</v>
      </c>
      <c r="B29" s="53">
        <v>3</v>
      </c>
      <c r="C29" s="152" t="str">
        <f t="shared" ref="C29:C35" si="2" xml:space="preserve"> IF(B29="","",setValueToTime(B29))</f>
        <v>0h15min</v>
      </c>
      <c r="D29" s="166" t="s">
        <v>106</v>
      </c>
      <c r="E29" s="241"/>
      <c r="F29" s="242"/>
      <c r="G29" s="50"/>
    </row>
    <row r="30" spans="1:7" s="51" customFormat="1">
      <c r="A30" s="52"/>
      <c r="B30" s="53"/>
      <c r="C30" s="152" t="str">
        <f t="shared" si="2"/>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28</v>
      </c>
      <c r="C38" s="162"/>
      <c r="D38" s="81" t="s">
        <v>14</v>
      </c>
      <c r="E38" s="93">
        <v>44258</v>
      </c>
      <c r="F38" s="125" t="s">
        <v>74</v>
      </c>
      <c r="G38" s="45"/>
    </row>
    <row r="39" spans="1:7" s="46" customFormat="1" ht="30" customHeight="1" thickBot="1">
      <c r="A39" s="79" t="s">
        <v>4</v>
      </c>
      <c r="B39" s="149" t="s">
        <v>38</v>
      </c>
      <c r="C39" s="150"/>
      <c r="D39" s="79" t="s">
        <v>12</v>
      </c>
      <c r="E39" s="237" t="s">
        <v>13</v>
      </c>
      <c r="F39" s="238"/>
      <c r="G39" s="45"/>
    </row>
    <row r="40" spans="1:7" s="51" customFormat="1">
      <c r="A40" s="47" t="s">
        <v>63</v>
      </c>
      <c r="B40" s="48">
        <v>42</v>
      </c>
      <c r="C40" s="151" t="str">
        <f xml:space="preserve"> IF(B40="","",setValueToTime(B40))</f>
        <v>3h30min</v>
      </c>
      <c r="D40" s="165" t="s">
        <v>188</v>
      </c>
      <c r="E40" s="239"/>
      <c r="F40" s="240"/>
      <c r="G40" s="50"/>
    </row>
    <row r="41" spans="1:7" s="51" customFormat="1">
      <c r="A41" s="52" t="s">
        <v>15</v>
      </c>
      <c r="B41" s="53">
        <v>3</v>
      </c>
      <c r="C41" s="152" t="str">
        <f t="shared" ref="C41:C47" si="3" xml:space="preserve"> IF(B41="","",setValueToTime(B41))</f>
        <v>0h15min</v>
      </c>
      <c r="D41" s="166" t="s">
        <v>106</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10" t="s">
        <v>27</v>
      </c>
      <c r="B48" s="83">
        <f>SUM(B40:B47)</f>
        <v>45</v>
      </c>
      <c r="C48" s="110" t="str">
        <f xml:space="preserve"> setValueToTime(B48)</f>
        <v>3h45min</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27</v>
      </c>
      <c r="C50" s="162"/>
      <c r="D50" s="81" t="s">
        <v>14</v>
      </c>
      <c r="E50" s="93">
        <v>44256</v>
      </c>
      <c r="F50" s="125" t="s">
        <v>74</v>
      </c>
      <c r="G50" s="45"/>
    </row>
    <row r="51" spans="1:7" s="46" customFormat="1" ht="30" customHeight="1" thickBot="1">
      <c r="A51" s="79" t="s">
        <v>4</v>
      </c>
      <c r="B51" s="149" t="s">
        <v>38</v>
      </c>
      <c r="C51" s="150"/>
      <c r="D51" s="79" t="s">
        <v>12</v>
      </c>
      <c r="E51" s="237" t="s">
        <v>13</v>
      </c>
      <c r="F51" s="238"/>
      <c r="G51" s="45"/>
    </row>
    <row r="52" spans="1:7" s="51" customFormat="1">
      <c r="A52" s="47" t="s">
        <v>63</v>
      </c>
      <c r="B52" s="48">
        <v>33</v>
      </c>
      <c r="C52" s="151" t="str">
        <f xml:space="preserve"> IF(B52="","",setValueToTime(B52))</f>
        <v>2h45min</v>
      </c>
      <c r="D52" s="165" t="s">
        <v>187</v>
      </c>
      <c r="E52" s="239"/>
      <c r="F52" s="240"/>
      <c r="G52" s="50"/>
    </row>
    <row r="53" spans="1:7" s="51" customFormat="1">
      <c r="A53" s="52" t="s">
        <v>15</v>
      </c>
      <c r="B53" s="53">
        <v>3</v>
      </c>
      <c r="C53" s="152" t="str">
        <f t="shared" ref="C53:C59" si="4" xml:space="preserve"> IF(B53="","",setValueToTime(B53))</f>
        <v>0h15min</v>
      </c>
      <c r="D53" s="166" t="s">
        <v>106</v>
      </c>
      <c r="E53" s="241"/>
      <c r="F53" s="242"/>
      <c r="G53" s="50"/>
    </row>
    <row r="54" spans="1:7" s="51" customFormat="1">
      <c r="A54" s="52"/>
      <c r="B54" s="53"/>
      <c r="C54" s="152" t="str">
        <f t="shared" si="4"/>
        <v/>
      </c>
      <c r="D54" s="54"/>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26</v>
      </c>
      <c r="C62" s="162"/>
      <c r="D62" s="81" t="s">
        <v>14</v>
      </c>
      <c r="E62" s="93">
        <v>44246</v>
      </c>
      <c r="F62" s="125" t="s">
        <v>75</v>
      </c>
      <c r="G62" s="45"/>
    </row>
    <row r="63" spans="1:7" s="46" customFormat="1" ht="30" customHeight="1" thickBot="1">
      <c r="A63" s="79" t="s">
        <v>4</v>
      </c>
      <c r="B63" s="149" t="s">
        <v>38</v>
      </c>
      <c r="C63" s="150"/>
      <c r="D63" s="79" t="s">
        <v>12</v>
      </c>
      <c r="E63" s="237" t="s">
        <v>13</v>
      </c>
      <c r="F63" s="238"/>
      <c r="G63" s="45"/>
    </row>
    <row r="64" spans="1:7" s="51" customFormat="1">
      <c r="A64" s="47" t="s">
        <v>66</v>
      </c>
      <c r="B64" s="48">
        <v>33</v>
      </c>
      <c r="C64" s="151" t="str">
        <f xml:space="preserve"> IF(B64="","",setValueToTime(B64))</f>
        <v>2h45min</v>
      </c>
      <c r="D64" s="165" t="s">
        <v>176</v>
      </c>
      <c r="E64" s="239"/>
      <c r="F64" s="240"/>
      <c r="G64" s="50"/>
    </row>
    <row r="65" spans="1:7" s="51" customFormat="1">
      <c r="A65" s="52" t="s">
        <v>15</v>
      </c>
      <c r="B65" s="53">
        <v>3</v>
      </c>
      <c r="C65" s="152" t="str">
        <f t="shared" ref="C65:C71" si="5" xml:space="preserve"> IF(B65="","",setValueToTime(B65))</f>
        <v>0h15min</v>
      </c>
      <c r="D65" s="166" t="s">
        <v>106</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10" t="s">
        <v>27</v>
      </c>
      <c r="B72" s="83">
        <f>SUM(B64:B71)</f>
        <v>36</v>
      </c>
      <c r="C72" s="110" t="str">
        <f xml:space="preserve"> setValueToTime(B72)</f>
        <v>3h</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25</v>
      </c>
      <c r="C74" s="162"/>
      <c r="D74" s="81" t="s">
        <v>14</v>
      </c>
      <c r="E74" s="93">
        <v>44246</v>
      </c>
      <c r="F74" s="125" t="s">
        <v>74</v>
      </c>
      <c r="G74" s="45"/>
    </row>
    <row r="75" spans="1:7" s="46" customFormat="1" ht="30" customHeight="1" thickBot="1">
      <c r="A75" s="79" t="s">
        <v>4</v>
      </c>
      <c r="B75" s="149" t="s">
        <v>38</v>
      </c>
      <c r="C75" s="150"/>
      <c r="D75" s="79" t="s">
        <v>12</v>
      </c>
      <c r="E75" s="237" t="s">
        <v>13</v>
      </c>
      <c r="F75" s="238"/>
      <c r="G75" s="45"/>
    </row>
    <row r="76" spans="1:7" s="51" customFormat="1" ht="27">
      <c r="A76" s="47" t="s">
        <v>117</v>
      </c>
      <c r="B76" s="48">
        <v>33</v>
      </c>
      <c r="C76" s="151" t="str">
        <f xml:space="preserve"> IF(B76="","",setValueToTime(B76))</f>
        <v>2h45min</v>
      </c>
      <c r="D76" s="165" t="s">
        <v>175</v>
      </c>
      <c r="E76" s="239"/>
      <c r="F76" s="240"/>
      <c r="G76" s="50"/>
    </row>
    <row r="77" spans="1:7" s="51" customFormat="1">
      <c r="A77" s="52" t="s">
        <v>15</v>
      </c>
      <c r="B77" s="53">
        <v>3</v>
      </c>
      <c r="C77" s="152" t="str">
        <f t="shared" ref="C77:C83" si="6" xml:space="preserve"> IF(B77="","",setValueToTime(B77))</f>
        <v>0h15min</v>
      </c>
      <c r="D77" s="166" t="s">
        <v>106</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10" t="s">
        <v>27</v>
      </c>
      <c r="B84" s="83">
        <f>SUM(B76:B83)</f>
        <v>36</v>
      </c>
      <c r="C84" s="110" t="str">
        <f xml:space="preserve"> setValueToTime(B84)</f>
        <v>3h</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24</v>
      </c>
      <c r="C86" s="162"/>
      <c r="D86" s="81" t="s">
        <v>14</v>
      </c>
      <c r="E86" s="93">
        <v>44245</v>
      </c>
      <c r="F86" s="125" t="s">
        <v>75</v>
      </c>
      <c r="G86" s="45"/>
    </row>
    <row r="87" spans="1:7" s="46" customFormat="1" ht="30" customHeight="1" thickBot="1">
      <c r="A87" s="79" t="s">
        <v>4</v>
      </c>
      <c r="B87" s="149" t="s">
        <v>38</v>
      </c>
      <c r="C87" s="150"/>
      <c r="D87" s="79" t="s">
        <v>12</v>
      </c>
      <c r="E87" s="237" t="s">
        <v>13</v>
      </c>
      <c r="F87" s="238"/>
      <c r="G87" s="45"/>
    </row>
    <row r="88" spans="1:7" s="51" customFormat="1">
      <c r="A88" s="47" t="s">
        <v>117</v>
      </c>
      <c r="B88" s="48">
        <v>33</v>
      </c>
      <c r="C88" s="151" t="str">
        <f xml:space="preserve"> IF(B88="","",setValueToTime(B88))</f>
        <v>2h45min</v>
      </c>
      <c r="D88" s="165" t="s">
        <v>174</v>
      </c>
      <c r="E88" s="239"/>
      <c r="F88" s="240"/>
      <c r="G88" s="50"/>
    </row>
    <row r="89" spans="1:7" s="51" customFormat="1">
      <c r="A89" s="52" t="s">
        <v>15</v>
      </c>
      <c r="B89" s="53">
        <v>3</v>
      </c>
      <c r="C89" s="152" t="str">
        <f t="shared" ref="C89:C95" si="7" xml:space="preserve"> IF(B89="","",setValueToTime(B89))</f>
        <v>0h15min</v>
      </c>
      <c r="D89" s="166" t="s">
        <v>106</v>
      </c>
      <c r="E89" s="241"/>
      <c r="F89" s="242"/>
      <c r="G89" s="50"/>
    </row>
    <row r="90" spans="1:7" s="51" customFormat="1">
      <c r="A90" s="52"/>
      <c r="B90" s="53"/>
      <c r="C90" s="152" t="str">
        <f t="shared" si="7"/>
        <v/>
      </c>
      <c r="D90" s="54"/>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10" t="s">
        <v>27</v>
      </c>
      <c r="B96" s="83">
        <f>SUM(B88:B95)</f>
        <v>36</v>
      </c>
      <c r="C96" s="110" t="str">
        <f xml:space="preserve"> setValueToTime(B96)</f>
        <v>3h</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23</v>
      </c>
      <c r="C98" s="162"/>
      <c r="D98" s="81" t="s">
        <v>14</v>
      </c>
      <c r="E98" s="93">
        <v>44245</v>
      </c>
      <c r="F98" s="125" t="s">
        <v>74</v>
      </c>
      <c r="G98" s="45"/>
    </row>
    <row r="99" spans="1:7" s="46" customFormat="1" ht="30" customHeight="1" thickBot="1">
      <c r="A99" s="79" t="s">
        <v>4</v>
      </c>
      <c r="B99" s="149" t="s">
        <v>38</v>
      </c>
      <c r="C99" s="150"/>
      <c r="D99" s="79" t="s">
        <v>12</v>
      </c>
      <c r="E99" s="237" t="s">
        <v>13</v>
      </c>
      <c r="F99" s="238"/>
      <c r="G99" s="45"/>
    </row>
    <row r="100" spans="1:7" s="51" customFormat="1">
      <c r="A100" s="47" t="s">
        <v>117</v>
      </c>
      <c r="B100" s="48">
        <v>42</v>
      </c>
      <c r="C100" s="151" t="str">
        <f xml:space="preserve"> IF(B100="","",setValueToTime(B100))</f>
        <v>3h30min</v>
      </c>
      <c r="D100" s="165" t="s">
        <v>173</v>
      </c>
      <c r="E100" s="239"/>
      <c r="F100" s="240"/>
      <c r="G100" s="50"/>
    </row>
    <row r="101" spans="1:7" s="51" customFormat="1">
      <c r="A101" s="52" t="s">
        <v>15</v>
      </c>
      <c r="B101" s="53">
        <v>3</v>
      </c>
      <c r="C101" s="152" t="str">
        <f t="shared" ref="C101:C107" si="8" xml:space="preserve"> IF(B101="","",setValueToTime(B101))</f>
        <v>0h15min</v>
      </c>
      <c r="D101" s="166" t="s">
        <v>151</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10" t="s">
        <v>27</v>
      </c>
      <c r="B108" s="83">
        <f>SUM(B100:B107)</f>
        <v>45</v>
      </c>
      <c r="C108" s="110" t="str">
        <f xml:space="preserve"> setValueToTime(B108)</f>
        <v>3h45min</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22</v>
      </c>
      <c r="C110" s="162"/>
      <c r="D110" s="81" t="s">
        <v>14</v>
      </c>
      <c r="E110" s="93">
        <v>44244</v>
      </c>
      <c r="F110" s="125" t="s">
        <v>75</v>
      </c>
      <c r="G110" s="45"/>
    </row>
    <row r="111" spans="1:7" s="46" customFormat="1" ht="30" customHeight="1" thickBot="1">
      <c r="A111" s="79" t="s">
        <v>4</v>
      </c>
      <c r="B111" s="149" t="s">
        <v>38</v>
      </c>
      <c r="C111" s="150"/>
      <c r="D111" s="79" t="s">
        <v>12</v>
      </c>
      <c r="E111" s="237" t="s">
        <v>13</v>
      </c>
      <c r="F111" s="238"/>
      <c r="G111" s="45"/>
    </row>
    <row r="112" spans="1:7" s="51" customFormat="1">
      <c r="A112" s="47" t="s">
        <v>50</v>
      </c>
      <c r="B112" s="48">
        <v>18</v>
      </c>
      <c r="C112" s="151" t="str">
        <f xml:space="preserve"> IF(B112="","",setValueToTime(B112))</f>
        <v>1h30min</v>
      </c>
      <c r="D112" s="165" t="s">
        <v>170</v>
      </c>
      <c r="E112" s="239"/>
      <c r="F112" s="240"/>
      <c r="G112" s="50"/>
    </row>
    <row r="113" spans="1:7" s="51" customFormat="1">
      <c r="A113" s="52" t="s">
        <v>117</v>
      </c>
      <c r="B113" s="53">
        <v>15</v>
      </c>
      <c r="C113" s="152" t="str">
        <f t="shared" ref="C113:C119" si="9" xml:space="preserve"> IF(B113="","",setValueToTime(B113))</f>
        <v>1h15min</v>
      </c>
      <c r="D113" s="166" t="s">
        <v>171</v>
      </c>
      <c r="E113" s="241"/>
      <c r="F113" s="242"/>
      <c r="G113" s="50"/>
    </row>
    <row r="114" spans="1:7" s="51" customFormat="1">
      <c r="A114" s="52" t="s">
        <v>15</v>
      </c>
      <c r="B114" s="53">
        <v>3</v>
      </c>
      <c r="C114" s="152" t="str">
        <f t="shared" si="9"/>
        <v>0h15min</v>
      </c>
      <c r="D114" s="166" t="s">
        <v>106</v>
      </c>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10" t="s">
        <v>27</v>
      </c>
      <c r="B120" s="83">
        <f>SUM(B112:B119)</f>
        <v>36</v>
      </c>
      <c r="C120" s="110" t="str">
        <f xml:space="preserve"> setValueToTime(B120)</f>
        <v>3h</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21</v>
      </c>
      <c r="C122" s="162"/>
      <c r="D122" s="81" t="s">
        <v>14</v>
      </c>
      <c r="E122" s="93">
        <v>44244</v>
      </c>
      <c r="F122" s="125" t="s">
        <v>74</v>
      </c>
      <c r="G122" s="45"/>
    </row>
    <row r="123" spans="1:7" s="46" customFormat="1" ht="30" customHeight="1" thickBot="1">
      <c r="A123" s="79" t="s">
        <v>4</v>
      </c>
      <c r="B123" s="149" t="s">
        <v>38</v>
      </c>
      <c r="C123" s="150"/>
      <c r="D123" s="79" t="s">
        <v>12</v>
      </c>
      <c r="E123" s="237" t="s">
        <v>13</v>
      </c>
      <c r="F123" s="238"/>
      <c r="G123" s="45"/>
    </row>
    <row r="124" spans="1:7" s="51" customFormat="1">
      <c r="A124" s="47" t="s">
        <v>165</v>
      </c>
      <c r="B124" s="48">
        <v>42</v>
      </c>
      <c r="C124" s="151" t="str">
        <f xml:space="preserve"> IF(B124="","",setValueToTime(B124))</f>
        <v>3h30min</v>
      </c>
      <c r="D124" s="165" t="s">
        <v>169</v>
      </c>
      <c r="E124" s="239"/>
      <c r="F124" s="240"/>
      <c r="G124" s="50"/>
    </row>
    <row r="125" spans="1:7" s="51" customFormat="1">
      <c r="A125" s="52" t="s">
        <v>15</v>
      </c>
      <c r="B125" s="53">
        <v>3</v>
      </c>
      <c r="C125" s="152" t="str">
        <f t="shared" ref="C125:C131" si="10" xml:space="preserve"> IF(B125="","",setValueToTime(B125))</f>
        <v>0h15min</v>
      </c>
      <c r="D125" s="166" t="s">
        <v>106</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10" t="s">
        <v>27</v>
      </c>
      <c r="B132" s="83">
        <f>SUM(B124:B131)</f>
        <v>45</v>
      </c>
      <c r="C132" s="110" t="str">
        <f xml:space="preserve"> setValueToTime(B132)</f>
        <v>3h45min</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20</v>
      </c>
      <c r="C134" s="162"/>
      <c r="D134" s="81" t="s">
        <v>14</v>
      </c>
      <c r="E134" s="93">
        <v>44239</v>
      </c>
      <c r="F134" s="125" t="s">
        <v>75</v>
      </c>
      <c r="G134" s="45"/>
    </row>
    <row r="135" spans="1:7" s="46" customFormat="1" ht="30" customHeight="1" thickBot="1">
      <c r="A135" s="79" t="s">
        <v>4</v>
      </c>
      <c r="B135" s="149" t="s">
        <v>38</v>
      </c>
      <c r="C135" s="150"/>
      <c r="D135" s="79" t="s">
        <v>12</v>
      </c>
      <c r="E135" s="237" t="s">
        <v>13</v>
      </c>
      <c r="F135" s="238"/>
      <c r="G135" s="45"/>
    </row>
    <row r="136" spans="1:7" s="51" customFormat="1" ht="27">
      <c r="A136" s="47" t="s">
        <v>165</v>
      </c>
      <c r="B136" s="48">
        <v>34</v>
      </c>
      <c r="C136" s="151" t="str">
        <f xml:space="preserve"> IF(B136="","",setValueToTime(B136))</f>
        <v>2h50min</v>
      </c>
      <c r="D136" s="165" t="s">
        <v>166</v>
      </c>
      <c r="E136" s="239"/>
      <c r="F136" s="240"/>
      <c r="G136" s="50"/>
    </row>
    <row r="137" spans="1:7" s="51" customFormat="1">
      <c r="A137" s="52" t="s">
        <v>15</v>
      </c>
      <c r="B137" s="53">
        <v>2</v>
      </c>
      <c r="C137" s="152" t="str">
        <f t="shared" ref="C137:C143" si="11" xml:space="preserve"> IF(B137="","",setValueToTime(B137))</f>
        <v>0h10min</v>
      </c>
      <c r="D137" s="166" t="s">
        <v>106</v>
      </c>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10" t="s">
        <v>27</v>
      </c>
      <c r="B144" s="83">
        <f>SUM(B136:B143)</f>
        <v>36</v>
      </c>
      <c r="C144" s="110" t="str">
        <f xml:space="preserve"> setValueToTime(B144)</f>
        <v>3h</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19</v>
      </c>
      <c r="C146" s="162"/>
      <c r="D146" s="81" t="s">
        <v>14</v>
      </c>
      <c r="E146" s="93">
        <v>44239</v>
      </c>
      <c r="F146" s="125" t="s">
        <v>74</v>
      </c>
      <c r="G146" s="45"/>
    </row>
    <row r="147" spans="1:7" s="46" customFormat="1" ht="30" customHeight="1" thickBot="1">
      <c r="A147" s="79" t="s">
        <v>4</v>
      </c>
      <c r="B147" s="149" t="s">
        <v>38</v>
      </c>
      <c r="C147" s="150"/>
      <c r="D147" s="79" t="s">
        <v>12</v>
      </c>
      <c r="E147" s="237" t="s">
        <v>13</v>
      </c>
      <c r="F147" s="238"/>
      <c r="G147" s="45"/>
    </row>
    <row r="148" spans="1:7" s="51" customFormat="1">
      <c r="A148" s="47" t="s">
        <v>50</v>
      </c>
      <c r="B148" s="48">
        <v>33</v>
      </c>
      <c r="C148" s="151" t="str">
        <f xml:space="preserve"> IF(B148="","",setValueToTime(B148))</f>
        <v>2h45min</v>
      </c>
      <c r="D148" s="165" t="s">
        <v>164</v>
      </c>
      <c r="E148" s="239"/>
      <c r="F148" s="240"/>
      <c r="G148" s="50"/>
    </row>
    <row r="149" spans="1:7" s="51" customFormat="1">
      <c r="A149" s="52" t="s">
        <v>15</v>
      </c>
      <c r="B149" s="53">
        <v>3</v>
      </c>
      <c r="C149" s="152" t="str">
        <f t="shared" ref="C149:C155" si="12" xml:space="preserve"> IF(B149="","",setValueToTime(B149))</f>
        <v>0h15min</v>
      </c>
      <c r="D149" s="166" t="s">
        <v>106</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10" t="s">
        <v>27</v>
      </c>
      <c r="B156" s="83">
        <f>SUM(B148:B155)</f>
        <v>36</v>
      </c>
      <c r="C156" s="110" t="str">
        <f xml:space="preserve"> setValueToTime(B156)</f>
        <v>3h</v>
      </c>
      <c r="D156" s="119"/>
      <c r="E156" s="235"/>
      <c r="F156" s="236"/>
      <c r="G156" s="50"/>
    </row>
    <row r="157" spans="1:7" s="58" customFormat="1" ht="15" thickBot="1">
      <c r="A157" s="78"/>
      <c r="B157" s="78"/>
      <c r="C157" s="78"/>
      <c r="D157" s="78"/>
      <c r="E157" s="78"/>
      <c r="F157" s="78"/>
      <c r="G157" s="57"/>
    </row>
    <row r="158" spans="1:7" s="46" customFormat="1" ht="30" customHeight="1" thickBot="1">
      <c r="A158" s="80" t="s">
        <v>11</v>
      </c>
      <c r="B158" s="162">
        <v>18</v>
      </c>
      <c r="C158" s="162"/>
      <c r="D158" s="81" t="s">
        <v>14</v>
      </c>
      <c r="E158" s="93">
        <v>44238</v>
      </c>
      <c r="F158" s="125" t="s">
        <v>75</v>
      </c>
      <c r="G158" s="45"/>
    </row>
    <row r="159" spans="1:7" s="46" customFormat="1" ht="30" customHeight="1" thickBot="1">
      <c r="A159" s="79" t="s">
        <v>4</v>
      </c>
      <c r="B159" s="149" t="s">
        <v>38</v>
      </c>
      <c r="C159" s="150"/>
      <c r="D159" s="79" t="s">
        <v>12</v>
      </c>
      <c r="E159" s="237" t="s">
        <v>13</v>
      </c>
      <c r="F159" s="238"/>
      <c r="G159" s="45"/>
    </row>
    <row r="160" spans="1:7" s="51" customFormat="1">
      <c r="A160" s="47" t="s">
        <v>50</v>
      </c>
      <c r="B160" s="48">
        <v>33</v>
      </c>
      <c r="C160" s="151" t="str">
        <f xml:space="preserve"> IF(B160="","",setValueToTime(B160))</f>
        <v>2h45min</v>
      </c>
      <c r="D160" s="165" t="s">
        <v>161</v>
      </c>
      <c r="E160" s="239"/>
      <c r="F160" s="240"/>
      <c r="G160" s="50"/>
    </row>
    <row r="161" spans="1:7" s="51" customFormat="1">
      <c r="A161" s="52" t="s">
        <v>15</v>
      </c>
      <c r="B161" s="53">
        <v>3</v>
      </c>
      <c r="C161" s="152" t="str">
        <f t="shared" ref="C161:C167" si="13" xml:space="preserve"> IF(B161="","",setValueToTime(B161))</f>
        <v>0h15min</v>
      </c>
      <c r="D161" s="166" t="s">
        <v>151</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10" t="s">
        <v>27</v>
      </c>
      <c r="B168" s="83">
        <f>SUM(B160:B167)</f>
        <v>36</v>
      </c>
      <c r="C168" s="110" t="str">
        <f xml:space="preserve"> setValueToTime(B168)</f>
        <v>3h</v>
      </c>
      <c r="D168" s="119"/>
      <c r="E168" s="235"/>
      <c r="F168" s="236"/>
      <c r="G168" s="50"/>
    </row>
    <row r="169" spans="1:7" s="58" customFormat="1" ht="15" thickBot="1">
      <c r="A169" s="78"/>
      <c r="B169" s="78"/>
      <c r="C169" s="78"/>
      <c r="D169" s="78"/>
      <c r="E169" s="78"/>
      <c r="F169" s="78"/>
      <c r="G169" s="57"/>
    </row>
    <row r="170" spans="1:7" s="46" customFormat="1" ht="30" customHeight="1" thickBot="1">
      <c r="A170" s="80" t="s">
        <v>11</v>
      </c>
      <c r="B170" s="162">
        <v>17</v>
      </c>
      <c r="C170" s="162"/>
      <c r="D170" s="81" t="s">
        <v>14</v>
      </c>
      <c r="E170" s="93">
        <v>44238</v>
      </c>
      <c r="F170" s="125" t="s">
        <v>74</v>
      </c>
      <c r="G170" s="45"/>
    </row>
    <row r="171" spans="1:7" s="46" customFormat="1" ht="30" customHeight="1" thickBot="1">
      <c r="A171" s="79" t="s">
        <v>4</v>
      </c>
      <c r="B171" s="149" t="s">
        <v>38</v>
      </c>
      <c r="C171" s="150"/>
      <c r="D171" s="79" t="s">
        <v>12</v>
      </c>
      <c r="E171" s="237" t="s">
        <v>13</v>
      </c>
      <c r="F171" s="238"/>
      <c r="G171" s="45"/>
    </row>
    <row r="172" spans="1:7" s="51" customFormat="1">
      <c r="A172" s="47" t="s">
        <v>50</v>
      </c>
      <c r="B172" s="48">
        <v>43</v>
      </c>
      <c r="C172" s="151" t="str">
        <f xml:space="preserve"> IF(B172="","",setValueToTime(B172))</f>
        <v>3h35min</v>
      </c>
      <c r="D172" s="165" t="s">
        <v>160</v>
      </c>
      <c r="E172" s="239"/>
      <c r="F172" s="240"/>
      <c r="G172" s="50"/>
    </row>
    <row r="173" spans="1:7" s="51" customFormat="1">
      <c r="A173" s="52" t="s">
        <v>15</v>
      </c>
      <c r="B173" s="53">
        <v>2</v>
      </c>
      <c r="C173" s="152" t="str">
        <f t="shared" ref="C173:C179" si="14" xml:space="preserve"> IF(B173="","",setValueToTime(B173))</f>
        <v>0h10min</v>
      </c>
      <c r="D173" s="166" t="s">
        <v>151</v>
      </c>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10" t="s">
        <v>27</v>
      </c>
      <c r="B180" s="83">
        <f>SUM(B172:B179)</f>
        <v>45</v>
      </c>
      <c r="C180" s="110" t="str">
        <f xml:space="preserve"> setValueToTime(B180)</f>
        <v>3h45min</v>
      </c>
      <c r="D180" s="119"/>
      <c r="E180" s="235"/>
      <c r="F180" s="236"/>
      <c r="G180" s="50"/>
    </row>
    <row r="181" spans="1:7" s="58" customFormat="1" ht="15" thickBot="1">
      <c r="A181" s="78"/>
      <c r="B181" s="78"/>
      <c r="C181" s="78"/>
      <c r="D181" s="78"/>
      <c r="E181" s="78"/>
      <c r="F181" s="78"/>
      <c r="G181" s="57"/>
    </row>
    <row r="182" spans="1:7" s="46" customFormat="1" ht="30" customHeight="1" thickBot="1">
      <c r="A182" s="80" t="s">
        <v>11</v>
      </c>
      <c r="B182" s="162">
        <v>16</v>
      </c>
      <c r="C182" s="162"/>
      <c r="D182" s="81" t="s">
        <v>14</v>
      </c>
      <c r="E182" s="93">
        <v>44237</v>
      </c>
      <c r="F182" s="125" t="s">
        <v>75</v>
      </c>
      <c r="G182" s="45"/>
    </row>
    <row r="183" spans="1:7" s="46" customFormat="1" ht="30" customHeight="1" thickBot="1">
      <c r="A183" s="79" t="s">
        <v>4</v>
      </c>
      <c r="B183" s="149" t="s">
        <v>38</v>
      </c>
      <c r="C183" s="150"/>
      <c r="D183" s="79" t="s">
        <v>12</v>
      </c>
      <c r="E183" s="237" t="s">
        <v>13</v>
      </c>
      <c r="F183" s="238"/>
      <c r="G183" s="45"/>
    </row>
    <row r="184" spans="1:7" s="51" customFormat="1">
      <c r="A184" s="47" t="s">
        <v>60</v>
      </c>
      <c r="B184" s="48">
        <v>33</v>
      </c>
      <c r="C184" s="151" t="str">
        <f xml:space="preserve"> IF(B184="","",setValueToTime(B184))</f>
        <v>2h45min</v>
      </c>
      <c r="D184" s="165" t="s">
        <v>144</v>
      </c>
      <c r="E184" s="239"/>
      <c r="F184" s="240"/>
      <c r="G184" s="50"/>
    </row>
    <row r="185" spans="1:7" s="51" customFormat="1">
      <c r="A185" s="52" t="s">
        <v>15</v>
      </c>
      <c r="B185" s="53">
        <v>3</v>
      </c>
      <c r="C185" s="152" t="str">
        <f t="shared" ref="C185:C191" si="15" xml:space="preserve"> IF(B185="","",setValueToTime(B185))</f>
        <v>0h15min</v>
      </c>
      <c r="D185" s="166" t="s">
        <v>145</v>
      </c>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10" t="s">
        <v>27</v>
      </c>
      <c r="B192" s="83">
        <f>SUM(B184:B191)</f>
        <v>36</v>
      </c>
      <c r="C192" s="110" t="str">
        <f xml:space="preserve"> setValueToTime(B192)</f>
        <v>3h</v>
      </c>
      <c r="D192" s="119"/>
      <c r="E192" s="235"/>
      <c r="F192" s="236"/>
      <c r="G192" s="50"/>
    </row>
    <row r="193" spans="1:7" s="58" customFormat="1" ht="15" thickBot="1">
      <c r="A193" s="78"/>
      <c r="B193" s="78"/>
      <c r="C193" s="78"/>
      <c r="D193" s="78"/>
      <c r="E193" s="78"/>
      <c r="F193" s="78"/>
      <c r="G193" s="57"/>
    </row>
    <row r="194" spans="1:7" s="46" customFormat="1" ht="30" customHeight="1" thickBot="1">
      <c r="A194" s="80" t="s">
        <v>11</v>
      </c>
      <c r="B194" s="162">
        <v>15</v>
      </c>
      <c r="C194" s="162"/>
      <c r="D194" s="81" t="s">
        <v>14</v>
      </c>
      <c r="E194" s="93">
        <v>44237</v>
      </c>
      <c r="F194" s="125" t="s">
        <v>74</v>
      </c>
      <c r="G194" s="45"/>
    </row>
    <row r="195" spans="1:7" s="46" customFormat="1" ht="30" customHeight="1" thickBot="1">
      <c r="A195" s="79" t="s">
        <v>4</v>
      </c>
      <c r="B195" s="149" t="s">
        <v>38</v>
      </c>
      <c r="C195" s="150"/>
      <c r="D195" s="79" t="s">
        <v>12</v>
      </c>
      <c r="E195" s="237" t="s">
        <v>13</v>
      </c>
      <c r="F195" s="238"/>
      <c r="G195" s="45"/>
    </row>
    <row r="196" spans="1:7" s="51" customFormat="1">
      <c r="A196" s="47" t="s">
        <v>60</v>
      </c>
      <c r="B196" s="48">
        <v>45</v>
      </c>
      <c r="C196" s="151" t="str">
        <f xml:space="preserve"> IF(B196="","",setValueToTime(B196))</f>
        <v>3h45min</v>
      </c>
      <c r="D196" s="165" t="s">
        <v>143</v>
      </c>
      <c r="E196" s="239"/>
      <c r="F196" s="240"/>
      <c r="G196" s="50"/>
    </row>
    <row r="197" spans="1:7" s="51" customFormat="1">
      <c r="A197" s="52"/>
      <c r="B197" s="53"/>
      <c r="C197" s="152" t="str">
        <f t="shared" ref="C197:C203" si="16" xml:space="preserve"> IF(B197="","",setValueToTime(B197))</f>
        <v/>
      </c>
      <c r="D197" s="54"/>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10" t="s">
        <v>27</v>
      </c>
      <c r="B204" s="83">
        <f>SUM(B196:B203)</f>
        <v>45</v>
      </c>
      <c r="C204" s="110" t="str">
        <f xml:space="preserve"> setValueToTime(B204)</f>
        <v>3h45min</v>
      </c>
      <c r="D204" s="119"/>
      <c r="E204" s="235"/>
      <c r="F204" s="236"/>
      <c r="G204" s="50"/>
    </row>
    <row r="205" spans="1:7" s="58" customFormat="1" ht="15" thickBot="1">
      <c r="A205" s="78"/>
      <c r="B205" s="78"/>
      <c r="C205" s="78"/>
      <c r="D205" s="78"/>
      <c r="E205" s="78"/>
      <c r="F205" s="78"/>
      <c r="G205" s="57"/>
    </row>
    <row r="206" spans="1:7" s="46" customFormat="1" ht="30" customHeight="1" thickBot="1">
      <c r="A206" s="80" t="s">
        <v>11</v>
      </c>
      <c r="B206" s="162">
        <v>14</v>
      </c>
      <c r="C206" s="162"/>
      <c r="D206" s="81" t="s">
        <v>14</v>
      </c>
      <c r="E206" s="93">
        <v>44235</v>
      </c>
      <c r="F206" s="125" t="s">
        <v>74</v>
      </c>
      <c r="G206" s="45"/>
    </row>
    <row r="207" spans="1:7" s="46" customFormat="1" ht="30" customHeight="1" thickBot="1">
      <c r="A207" s="79" t="s">
        <v>4</v>
      </c>
      <c r="B207" s="149" t="s">
        <v>38</v>
      </c>
      <c r="C207" s="150"/>
      <c r="D207" s="79" t="s">
        <v>12</v>
      </c>
      <c r="E207" s="237" t="s">
        <v>13</v>
      </c>
      <c r="F207" s="238"/>
      <c r="G207" s="45"/>
    </row>
    <row r="208" spans="1:7" s="51" customFormat="1">
      <c r="A208" s="47" t="s">
        <v>51</v>
      </c>
      <c r="B208" s="48">
        <v>36</v>
      </c>
      <c r="C208" s="151" t="str">
        <f xml:space="preserve"> IF(B208="","",setValueToTime(B208))</f>
        <v>3h</v>
      </c>
      <c r="D208" s="165" t="s">
        <v>142</v>
      </c>
      <c r="E208" s="239"/>
      <c r="F208" s="240"/>
      <c r="G208" s="50"/>
    </row>
    <row r="209" spans="1:7" s="51" customFormat="1">
      <c r="A209" s="52"/>
      <c r="B209" s="53"/>
      <c r="C209" s="152" t="str">
        <f t="shared" ref="C209:C215" si="17" xml:space="preserve"> IF(B209="","",setValueToTime(B209))</f>
        <v/>
      </c>
      <c r="D209" s="54"/>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10" t="s">
        <v>27</v>
      </c>
      <c r="B216" s="83">
        <f>SUM(B208:B215)</f>
        <v>36</v>
      </c>
      <c r="C216" s="110" t="str">
        <f xml:space="preserve"> setValueToTime(B216)</f>
        <v>3h</v>
      </c>
      <c r="D216" s="119"/>
      <c r="E216" s="235"/>
      <c r="F216" s="236"/>
      <c r="G216" s="50"/>
    </row>
    <row r="217" spans="1:7" s="58" customFormat="1" ht="15" thickBot="1">
      <c r="A217" s="78"/>
      <c r="B217" s="78"/>
      <c r="C217" s="78"/>
      <c r="D217" s="78"/>
      <c r="E217" s="78"/>
      <c r="F217" s="78"/>
      <c r="G217" s="57"/>
    </row>
    <row r="218" spans="1:7" s="46" customFormat="1" ht="30" customHeight="1" thickBot="1">
      <c r="A218" s="80" t="s">
        <v>11</v>
      </c>
      <c r="B218" s="162">
        <v>13</v>
      </c>
      <c r="C218" s="162"/>
      <c r="D218" s="81" t="s">
        <v>14</v>
      </c>
      <c r="E218" s="93">
        <v>44232</v>
      </c>
      <c r="F218" s="125" t="s">
        <v>75</v>
      </c>
      <c r="G218" s="45"/>
    </row>
    <row r="219" spans="1:7" s="46" customFormat="1" ht="30" customHeight="1" thickBot="1">
      <c r="A219" s="79" t="s">
        <v>4</v>
      </c>
      <c r="B219" s="149" t="s">
        <v>38</v>
      </c>
      <c r="C219" s="150"/>
      <c r="D219" s="79" t="s">
        <v>12</v>
      </c>
      <c r="E219" s="237" t="s">
        <v>13</v>
      </c>
      <c r="F219" s="238"/>
      <c r="G219" s="45"/>
    </row>
    <row r="220" spans="1:7" s="51" customFormat="1" ht="27">
      <c r="A220" s="47" t="s">
        <v>117</v>
      </c>
      <c r="B220" s="48">
        <v>33</v>
      </c>
      <c r="C220" s="151" t="str">
        <f xml:space="preserve"> IF(B220="","",setValueToTime(B220))</f>
        <v>2h45min</v>
      </c>
      <c r="D220" s="165" t="s">
        <v>124</v>
      </c>
      <c r="E220" s="239"/>
      <c r="F220" s="240"/>
      <c r="G220" s="50"/>
    </row>
    <row r="221" spans="1:7" s="51" customFormat="1">
      <c r="A221" s="52" t="s">
        <v>15</v>
      </c>
      <c r="B221" s="53">
        <v>3</v>
      </c>
      <c r="C221" s="152" t="str">
        <f t="shared" ref="C221:C227" si="18" xml:space="preserve"> IF(B221="","",setValueToTime(B221))</f>
        <v>0h15min</v>
      </c>
      <c r="D221" s="166" t="s">
        <v>114</v>
      </c>
      <c r="E221" s="241"/>
      <c r="F221" s="242"/>
      <c r="G221" s="50"/>
    </row>
    <row r="222" spans="1:7" s="51" customFormat="1">
      <c r="A222" s="52"/>
      <c r="B222" s="53"/>
      <c r="C222" s="152" t="str">
        <f t="shared" si="18"/>
        <v/>
      </c>
      <c r="D222" s="54"/>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10" t="s">
        <v>27</v>
      </c>
      <c r="B228" s="83">
        <f>SUM(B220:B227)</f>
        <v>36</v>
      </c>
      <c r="C228" s="110" t="str">
        <f xml:space="preserve"> setValueToTime(B228)</f>
        <v>3h</v>
      </c>
      <c r="D228" s="119"/>
      <c r="E228" s="235"/>
      <c r="F228" s="236"/>
      <c r="G228" s="50"/>
    </row>
    <row r="229" spans="1:7" s="58" customFormat="1" ht="15" thickBot="1">
      <c r="A229" s="78"/>
      <c r="B229" s="78"/>
      <c r="C229" s="78"/>
      <c r="D229" s="78"/>
      <c r="E229" s="78"/>
      <c r="F229" s="78"/>
      <c r="G229" s="57"/>
    </row>
    <row r="230" spans="1:7" s="46" customFormat="1" ht="30" customHeight="1" thickBot="1">
      <c r="A230" s="80" t="s">
        <v>11</v>
      </c>
      <c r="B230" s="162">
        <v>12</v>
      </c>
      <c r="C230" s="162"/>
      <c r="D230" s="81" t="s">
        <v>14</v>
      </c>
      <c r="E230" s="93">
        <v>44232</v>
      </c>
      <c r="F230" s="125" t="s">
        <v>74</v>
      </c>
      <c r="G230" s="45"/>
    </row>
    <row r="231" spans="1:7" s="46" customFormat="1" ht="30" customHeight="1" thickBot="1">
      <c r="A231" s="79" t="s">
        <v>4</v>
      </c>
      <c r="B231" s="149" t="s">
        <v>38</v>
      </c>
      <c r="C231" s="150"/>
      <c r="D231" s="79" t="s">
        <v>12</v>
      </c>
      <c r="E231" s="237" t="s">
        <v>13</v>
      </c>
      <c r="F231" s="238"/>
      <c r="G231" s="45"/>
    </row>
    <row r="232" spans="1:7" s="51" customFormat="1" ht="27">
      <c r="A232" s="47" t="s">
        <v>62</v>
      </c>
      <c r="B232" s="48">
        <v>36</v>
      </c>
      <c r="C232" s="151" t="str">
        <f xml:space="preserve"> IF(B232="","",setValueToTime(B232))</f>
        <v>3h</v>
      </c>
      <c r="D232" s="165" t="s">
        <v>123</v>
      </c>
      <c r="E232" s="239"/>
      <c r="F232" s="240"/>
      <c r="G232" s="50"/>
    </row>
    <row r="233" spans="1:7" s="51" customFormat="1">
      <c r="A233" s="52"/>
      <c r="B233" s="53"/>
      <c r="C233" s="152" t="str">
        <f t="shared" ref="C233:C239" si="19" xml:space="preserve"> IF(B233="","",setValueToTime(B233))</f>
        <v/>
      </c>
      <c r="D233" s="54"/>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10" t="s">
        <v>27</v>
      </c>
      <c r="B240" s="83">
        <f>SUM(B232:B239)</f>
        <v>36</v>
      </c>
      <c r="C240" s="110" t="str">
        <f xml:space="preserve"> setValueToTime(B240)</f>
        <v>3h</v>
      </c>
      <c r="D240" s="119"/>
      <c r="E240" s="235"/>
      <c r="F240" s="236"/>
      <c r="G240" s="50"/>
    </row>
    <row r="241" spans="1:7" s="58" customFormat="1" ht="15" thickBot="1">
      <c r="A241" s="78"/>
      <c r="B241" s="78"/>
      <c r="C241" s="78"/>
      <c r="D241" s="78"/>
      <c r="E241" s="78"/>
      <c r="F241" s="78"/>
      <c r="G241" s="57"/>
    </row>
    <row r="242" spans="1:7" s="46" customFormat="1" ht="30" customHeight="1" thickBot="1">
      <c r="A242" s="80" t="s">
        <v>11</v>
      </c>
      <c r="B242" s="162">
        <v>11</v>
      </c>
      <c r="C242" s="162"/>
      <c r="D242" s="81" t="s">
        <v>14</v>
      </c>
      <c r="E242" s="93">
        <v>44231</v>
      </c>
      <c r="F242" s="125" t="s">
        <v>75</v>
      </c>
      <c r="G242" s="45"/>
    </row>
    <row r="243" spans="1:7" s="46" customFormat="1" ht="30" customHeight="1" thickBot="1">
      <c r="A243" s="79" t="s">
        <v>4</v>
      </c>
      <c r="B243" s="149" t="s">
        <v>38</v>
      </c>
      <c r="C243" s="150"/>
      <c r="D243" s="79" t="s">
        <v>12</v>
      </c>
      <c r="E243" s="237" t="s">
        <v>13</v>
      </c>
      <c r="F243" s="238"/>
      <c r="G243" s="45"/>
    </row>
    <row r="244" spans="1:7" s="51" customFormat="1">
      <c r="A244" s="47" t="s">
        <v>59</v>
      </c>
      <c r="B244" s="48">
        <v>18</v>
      </c>
      <c r="C244" s="151" t="str">
        <f xml:space="preserve"> IF(B244="","",setValueToTime(B244))</f>
        <v>1h30min</v>
      </c>
      <c r="D244" s="165" t="s">
        <v>120</v>
      </c>
      <c r="E244" s="239"/>
      <c r="F244" s="240"/>
      <c r="G244" s="50"/>
    </row>
    <row r="245" spans="1:7" s="51" customFormat="1" ht="27">
      <c r="A245" s="52" t="s">
        <v>62</v>
      </c>
      <c r="B245" s="53">
        <v>15</v>
      </c>
      <c r="C245" s="152" t="str">
        <f t="shared" ref="C245:C251" si="20" xml:space="preserve"> IF(B245="","",setValueToTime(B245))</f>
        <v>1h15min</v>
      </c>
      <c r="D245" s="166" t="s">
        <v>122</v>
      </c>
      <c r="E245" s="241"/>
      <c r="F245" s="242"/>
      <c r="G245" s="50"/>
    </row>
    <row r="246" spans="1:7" s="51" customFormat="1">
      <c r="A246" s="52" t="s">
        <v>15</v>
      </c>
      <c r="B246" s="53">
        <v>3</v>
      </c>
      <c r="C246" s="152" t="str">
        <f t="shared" si="20"/>
        <v>0h15min</v>
      </c>
      <c r="D246" s="166" t="s">
        <v>106</v>
      </c>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10" t="s">
        <v>27</v>
      </c>
      <c r="B252" s="83">
        <f>SUM(B244:B251)</f>
        <v>36</v>
      </c>
      <c r="C252" s="110" t="str">
        <f xml:space="preserve"> setValueToTime(B252)</f>
        <v>3h</v>
      </c>
      <c r="D252" s="119"/>
      <c r="E252" s="235"/>
      <c r="F252" s="236"/>
      <c r="G252" s="50"/>
    </row>
    <row r="253" spans="1:7" s="58" customFormat="1" ht="15" thickBot="1">
      <c r="A253" s="78"/>
      <c r="B253" s="78"/>
      <c r="C253" s="78"/>
      <c r="D253" s="78"/>
      <c r="E253" s="78"/>
      <c r="F253" s="78"/>
      <c r="G253" s="57"/>
    </row>
    <row r="254" spans="1:7" s="46" customFormat="1" ht="30" customHeight="1" thickBot="1">
      <c r="A254" s="80" t="s">
        <v>11</v>
      </c>
      <c r="B254" s="162">
        <v>10</v>
      </c>
      <c r="C254" s="162"/>
      <c r="D254" s="81" t="s">
        <v>14</v>
      </c>
      <c r="E254" s="93">
        <v>44231</v>
      </c>
      <c r="F254" s="125" t="s">
        <v>74</v>
      </c>
      <c r="G254" s="45"/>
    </row>
    <row r="255" spans="1:7" s="46" customFormat="1" ht="30" customHeight="1" thickBot="1">
      <c r="A255" s="79" t="s">
        <v>4</v>
      </c>
      <c r="B255" s="149" t="s">
        <v>38</v>
      </c>
      <c r="C255" s="150"/>
      <c r="D255" s="79" t="s">
        <v>12</v>
      </c>
      <c r="E255" s="237" t="s">
        <v>13</v>
      </c>
      <c r="F255" s="238"/>
      <c r="G255" s="45"/>
    </row>
    <row r="256" spans="1:7" s="51" customFormat="1">
      <c r="A256" s="47" t="s">
        <v>59</v>
      </c>
      <c r="B256" s="48">
        <v>45</v>
      </c>
      <c r="C256" s="151" t="str">
        <f xml:space="preserve"> IF(B256="","",setValueToTime(B256))</f>
        <v>3h45min</v>
      </c>
      <c r="D256" s="165" t="s">
        <v>121</v>
      </c>
      <c r="E256" s="239"/>
      <c r="F256" s="240"/>
      <c r="G256" s="50"/>
    </row>
    <row r="257" spans="1:7" s="51" customFormat="1">
      <c r="A257" s="52"/>
      <c r="B257" s="53"/>
      <c r="C257" s="152" t="str">
        <f t="shared" ref="C257:C263" si="21" xml:space="preserve"> IF(B257="","",setValueToTime(B257))</f>
        <v/>
      </c>
      <c r="D257" s="54"/>
      <c r="E257" s="241"/>
      <c r="F257" s="242"/>
      <c r="G257" s="50"/>
    </row>
    <row r="258" spans="1:7" s="51" customFormat="1">
      <c r="A258" s="52"/>
      <c r="B258" s="53"/>
      <c r="C258" s="152" t="str">
        <f t="shared" si="21"/>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10" t="s">
        <v>27</v>
      </c>
      <c r="B264" s="83">
        <f>SUM(B256:B263)</f>
        <v>45</v>
      </c>
      <c r="C264" s="110" t="str">
        <f xml:space="preserve"> setValueToTime(B264)</f>
        <v>3h45min</v>
      </c>
      <c r="D264" s="119"/>
      <c r="E264" s="235"/>
      <c r="F264" s="236"/>
      <c r="G264" s="50"/>
    </row>
    <row r="265" spans="1:7" s="58" customFormat="1" ht="15" thickBot="1">
      <c r="A265" s="78"/>
      <c r="B265" s="78"/>
      <c r="C265" s="78"/>
      <c r="D265" s="78"/>
      <c r="E265" s="78"/>
      <c r="F265" s="78"/>
      <c r="G265" s="57"/>
    </row>
    <row r="266" spans="1:7" s="46" customFormat="1" ht="30" customHeight="1" thickBot="1">
      <c r="A266" s="80" t="s">
        <v>11</v>
      </c>
      <c r="B266" s="162">
        <v>9</v>
      </c>
      <c r="C266" s="162"/>
      <c r="D266" s="81" t="s">
        <v>14</v>
      </c>
      <c r="E266" s="93">
        <v>44230</v>
      </c>
      <c r="F266" s="125" t="s">
        <v>75</v>
      </c>
      <c r="G266" s="45"/>
    </row>
    <row r="267" spans="1:7" s="46" customFormat="1" ht="30" customHeight="1" thickBot="1">
      <c r="A267" s="79" t="s">
        <v>4</v>
      </c>
      <c r="B267" s="149" t="s">
        <v>38</v>
      </c>
      <c r="C267" s="150"/>
      <c r="D267" s="79" t="s">
        <v>12</v>
      </c>
      <c r="E267" s="237" t="s">
        <v>13</v>
      </c>
      <c r="F267" s="238"/>
      <c r="G267" s="45"/>
    </row>
    <row r="268" spans="1:7" s="51" customFormat="1">
      <c r="A268" s="47" t="s">
        <v>60</v>
      </c>
      <c r="B268" s="48">
        <v>18</v>
      </c>
      <c r="C268" s="151" t="str">
        <f xml:space="preserve"> IF(B268="","",setValueToTime(B268))</f>
        <v>1h30min</v>
      </c>
      <c r="D268" s="165" t="s">
        <v>116</v>
      </c>
      <c r="E268" s="239"/>
      <c r="F268" s="240"/>
      <c r="G268" s="50"/>
    </row>
    <row r="269" spans="1:7" s="51" customFormat="1">
      <c r="A269" s="52" t="s">
        <v>59</v>
      </c>
      <c r="B269" s="53">
        <v>15</v>
      </c>
      <c r="C269" s="152" t="str">
        <f t="shared" ref="C269:C275" si="22" xml:space="preserve"> IF(B269="","",setValueToTime(B269))</f>
        <v>1h15min</v>
      </c>
      <c r="D269" s="166" t="s">
        <v>119</v>
      </c>
      <c r="E269" s="241"/>
      <c r="F269" s="242"/>
      <c r="G269" s="50"/>
    </row>
    <row r="270" spans="1:7" s="51" customFormat="1">
      <c r="A270" s="52" t="s">
        <v>15</v>
      </c>
      <c r="B270" s="53">
        <v>3</v>
      </c>
      <c r="C270" s="152" t="str">
        <f t="shared" si="22"/>
        <v>0h15min</v>
      </c>
      <c r="D270" s="166" t="s">
        <v>106</v>
      </c>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10" t="s">
        <v>27</v>
      </c>
      <c r="B276" s="83">
        <f>SUM(B268:B275)</f>
        <v>36</v>
      </c>
      <c r="C276" s="110" t="str">
        <f xml:space="preserve"> setValueToTime(B276)</f>
        <v>3h</v>
      </c>
      <c r="D276" s="119"/>
      <c r="E276" s="235"/>
      <c r="F276" s="236"/>
      <c r="G276" s="50"/>
    </row>
    <row r="277" spans="1:7" s="58" customFormat="1" ht="15" thickBot="1">
      <c r="A277" s="78"/>
      <c r="B277" s="78"/>
      <c r="C277" s="78"/>
      <c r="D277" s="78"/>
      <c r="E277" s="78"/>
      <c r="F277" s="78"/>
      <c r="G277" s="57"/>
    </row>
    <row r="278" spans="1:7" s="46" customFormat="1" ht="30" customHeight="1" thickBot="1">
      <c r="A278" s="80" t="s">
        <v>11</v>
      </c>
      <c r="B278" s="162">
        <v>8</v>
      </c>
      <c r="C278" s="162"/>
      <c r="D278" s="81" t="s">
        <v>14</v>
      </c>
      <c r="E278" s="93">
        <v>44230</v>
      </c>
      <c r="F278" s="125" t="s">
        <v>74</v>
      </c>
      <c r="G278" s="45"/>
    </row>
    <row r="279" spans="1:7" s="46" customFormat="1" ht="30" customHeight="1" thickBot="1">
      <c r="A279" s="79" t="s">
        <v>4</v>
      </c>
      <c r="B279" s="149" t="s">
        <v>38</v>
      </c>
      <c r="C279" s="150"/>
      <c r="D279" s="79" t="s">
        <v>12</v>
      </c>
      <c r="E279" s="237" t="s">
        <v>13</v>
      </c>
      <c r="F279" s="238"/>
      <c r="G279" s="45"/>
    </row>
    <row r="280" spans="1:7" s="51" customFormat="1">
      <c r="A280" s="47" t="s">
        <v>56</v>
      </c>
      <c r="B280" s="48">
        <v>3</v>
      </c>
      <c r="C280" s="151"/>
      <c r="D280" s="165" t="s">
        <v>112</v>
      </c>
      <c r="E280" s="239"/>
      <c r="F280" s="240"/>
      <c r="G280" s="50"/>
    </row>
    <row r="281" spans="1:7" s="51" customFormat="1">
      <c r="A281" s="52" t="s">
        <v>60</v>
      </c>
      <c r="B281" s="53">
        <v>42</v>
      </c>
      <c r="C281" s="152"/>
      <c r="D281" s="166" t="s">
        <v>115</v>
      </c>
      <c r="E281" s="241"/>
      <c r="F281" s="242"/>
      <c r="G281" s="50"/>
    </row>
    <row r="282" spans="1:7" s="51" customFormat="1">
      <c r="A282" s="52"/>
      <c r="B282" s="53"/>
      <c r="C282" s="152" t="str">
        <f t="shared" ref="C282:C287" si="23" xml:space="preserve"> IF(B282="","",setValueToTime(B282))</f>
        <v/>
      </c>
      <c r="D282" s="54"/>
      <c r="E282" s="241"/>
      <c r="F282" s="242"/>
      <c r="G282" s="50"/>
    </row>
    <row r="283" spans="1:7" s="51" customFormat="1">
      <c r="A283" s="52"/>
      <c r="B283" s="53"/>
      <c r="C283" s="152" t="str">
        <f t="shared" si="23"/>
        <v/>
      </c>
      <c r="D283" s="54"/>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10" t="s">
        <v>27</v>
      </c>
      <c r="B288" s="83">
        <f>SUM(B280:B287)</f>
        <v>45</v>
      </c>
      <c r="C288" s="110" t="str">
        <f xml:space="preserve"> setValueToTime(B288)</f>
        <v>3h45min</v>
      </c>
      <c r="D288" s="119"/>
      <c r="E288" s="235"/>
      <c r="F288" s="236"/>
      <c r="G288" s="50"/>
    </row>
    <row r="289" spans="1:7" s="58" customFormat="1" ht="15" thickBot="1">
      <c r="A289" s="78"/>
      <c r="B289" s="78"/>
      <c r="C289" s="78"/>
      <c r="D289" s="78"/>
      <c r="E289" s="78"/>
      <c r="F289" s="78"/>
      <c r="G289" s="57"/>
    </row>
    <row r="290" spans="1:7" s="46" customFormat="1" ht="30" customHeight="1" thickBot="1">
      <c r="A290" s="80" t="s">
        <v>11</v>
      </c>
      <c r="B290" s="162">
        <v>7</v>
      </c>
      <c r="C290" s="162"/>
      <c r="D290" s="81" t="s">
        <v>14</v>
      </c>
      <c r="E290" s="93">
        <v>44228</v>
      </c>
      <c r="F290" s="125" t="s">
        <v>74</v>
      </c>
      <c r="G290" s="45"/>
    </row>
    <row r="291" spans="1:7" s="46" customFormat="1" ht="30" customHeight="1" thickBot="1">
      <c r="A291" s="79" t="s">
        <v>4</v>
      </c>
      <c r="B291" s="149" t="s">
        <v>38</v>
      </c>
      <c r="C291" s="150"/>
      <c r="D291" s="79" t="s">
        <v>12</v>
      </c>
      <c r="E291" s="237" t="s">
        <v>13</v>
      </c>
      <c r="F291" s="238"/>
      <c r="G291" s="45"/>
    </row>
    <row r="292" spans="1:7" s="51" customFormat="1">
      <c r="A292" s="47" t="s">
        <v>56</v>
      </c>
      <c r="B292" s="48">
        <v>3</v>
      </c>
      <c r="C292" s="151" t="str">
        <f xml:space="preserve"> IF(B292="","",setValueToTime(B292))</f>
        <v>0h15min</v>
      </c>
      <c r="D292" s="165" t="s">
        <v>112</v>
      </c>
      <c r="E292" s="239"/>
      <c r="F292" s="240"/>
      <c r="G292" s="50"/>
    </row>
    <row r="293" spans="1:7" s="51" customFormat="1">
      <c r="A293" s="52" t="s">
        <v>60</v>
      </c>
      <c r="B293" s="53">
        <v>33</v>
      </c>
      <c r="C293" s="152" t="str">
        <f t="shared" ref="C293:C299" si="24" xml:space="preserve"> IF(B293="","",setValueToTime(B293))</f>
        <v>2h45min</v>
      </c>
      <c r="D293" s="166" t="s">
        <v>113</v>
      </c>
      <c r="E293" s="241"/>
      <c r="F293" s="242"/>
      <c r="G293" s="50"/>
    </row>
    <row r="294" spans="1:7" s="51" customFormat="1">
      <c r="A294" s="52"/>
      <c r="B294" s="53"/>
      <c r="C294" s="152" t="str">
        <f t="shared" si="24"/>
        <v/>
      </c>
      <c r="D294" s="54"/>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10" t="s">
        <v>27</v>
      </c>
      <c r="B300" s="83">
        <f>SUM(B292:B299)</f>
        <v>36</v>
      </c>
      <c r="C300" s="110" t="str">
        <f xml:space="preserve"> setValueToTime(B300)</f>
        <v>3h</v>
      </c>
      <c r="D300" s="119"/>
      <c r="E300" s="235"/>
      <c r="F300" s="236"/>
      <c r="G300" s="50"/>
    </row>
    <row r="301" spans="1:7" s="58" customFormat="1" ht="15" thickBot="1">
      <c r="A301" s="78"/>
      <c r="B301" s="78"/>
      <c r="C301" s="78"/>
      <c r="D301" s="78"/>
      <c r="E301" s="78"/>
      <c r="F301" s="78"/>
      <c r="G301" s="57"/>
    </row>
    <row r="302" spans="1:7" s="46" customFormat="1" ht="30" customHeight="1" thickBot="1">
      <c r="A302" s="80" t="s">
        <v>11</v>
      </c>
      <c r="B302" s="162">
        <v>6</v>
      </c>
      <c r="C302" s="162"/>
      <c r="D302" s="81" t="s">
        <v>14</v>
      </c>
      <c r="E302" s="93">
        <v>44225</v>
      </c>
      <c r="F302" s="125" t="s">
        <v>91</v>
      </c>
      <c r="G302" s="45"/>
    </row>
    <row r="303" spans="1:7" s="46" customFormat="1" ht="30" customHeight="1" thickBot="1">
      <c r="A303" s="79" t="s">
        <v>4</v>
      </c>
      <c r="B303" s="149" t="s">
        <v>38</v>
      </c>
      <c r="C303" s="150"/>
      <c r="D303" s="79" t="s">
        <v>12</v>
      </c>
      <c r="E303" s="237" t="s">
        <v>13</v>
      </c>
      <c r="F303" s="238"/>
      <c r="G303" s="45"/>
    </row>
    <row r="304" spans="1:7" s="51" customFormat="1">
      <c r="A304" s="47" t="s">
        <v>58</v>
      </c>
      <c r="B304" s="48">
        <v>33</v>
      </c>
      <c r="C304" s="151" t="str">
        <f xml:space="preserve"> IF(B304="","",setValueToTime(B304))</f>
        <v>2h45min</v>
      </c>
      <c r="D304" s="165" t="s">
        <v>96</v>
      </c>
      <c r="E304" s="239"/>
      <c r="F304" s="240"/>
      <c r="G304" s="50"/>
    </row>
    <row r="305" spans="1:7" s="51" customFormat="1">
      <c r="A305" s="52" t="s">
        <v>15</v>
      </c>
      <c r="B305" s="53">
        <v>3</v>
      </c>
      <c r="C305" s="152" t="str">
        <f t="shared" ref="C305:C311" si="25" xml:space="preserve"> IF(B305="","",setValueToTime(B305))</f>
        <v>0h15min</v>
      </c>
      <c r="D305" s="166" t="s">
        <v>94</v>
      </c>
      <c r="E305" s="241"/>
      <c r="F305" s="242"/>
      <c r="G305" s="50"/>
    </row>
    <row r="306" spans="1:7" s="51" customFormat="1">
      <c r="A306" s="52"/>
      <c r="B306" s="53"/>
      <c r="C306" s="152" t="str">
        <f t="shared" si="25"/>
        <v/>
      </c>
      <c r="D306" s="54"/>
      <c r="E306" s="241"/>
      <c r="F306" s="242"/>
      <c r="G306" s="50"/>
    </row>
    <row r="307" spans="1:7" s="51" customFormat="1">
      <c r="A307" s="52"/>
      <c r="B307" s="53"/>
      <c r="C307" s="152" t="str">
        <f t="shared" si="25"/>
        <v/>
      </c>
      <c r="D307" s="54"/>
      <c r="E307" s="241"/>
      <c r="F307" s="242"/>
      <c r="G307" s="50"/>
    </row>
    <row r="308" spans="1:7" s="51" customFormat="1">
      <c r="A308" s="53"/>
      <c r="B308" s="53"/>
      <c r="C308" s="153" t="str">
        <f t="shared" si="25"/>
        <v/>
      </c>
      <c r="D308" s="54"/>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15" thickBot="1">
      <c r="A312" s="110" t="s">
        <v>27</v>
      </c>
      <c r="B312" s="83">
        <f>SUM(B304:B311)</f>
        <v>36</v>
      </c>
      <c r="C312" s="110" t="str">
        <f xml:space="preserve"> setValueToTime(B312)</f>
        <v>3h</v>
      </c>
      <c r="D312" s="119"/>
      <c r="E312" s="235"/>
      <c r="F312" s="236"/>
      <c r="G312" s="50"/>
    </row>
    <row r="313" spans="1:7" s="58" customFormat="1" ht="15" thickBot="1">
      <c r="A313" s="78"/>
      <c r="B313" s="78"/>
      <c r="C313" s="78"/>
      <c r="D313" s="78"/>
      <c r="E313" s="78"/>
      <c r="F313" s="78"/>
      <c r="G313" s="57"/>
    </row>
    <row r="314" spans="1:7" s="46" customFormat="1" ht="30" customHeight="1" thickBot="1">
      <c r="A314" s="80" t="s">
        <v>11</v>
      </c>
      <c r="B314" s="162">
        <v>5</v>
      </c>
      <c r="C314" s="162"/>
      <c r="D314" s="81" t="s">
        <v>14</v>
      </c>
      <c r="E314" s="93">
        <v>44225</v>
      </c>
      <c r="F314" s="125" t="s">
        <v>86</v>
      </c>
      <c r="G314" s="45"/>
    </row>
    <row r="315" spans="1:7" s="46" customFormat="1" ht="30" customHeight="1" thickBot="1">
      <c r="A315" s="79" t="s">
        <v>4</v>
      </c>
      <c r="B315" s="149" t="s">
        <v>38</v>
      </c>
      <c r="C315" s="150"/>
      <c r="D315" s="79" t="s">
        <v>12</v>
      </c>
      <c r="E315" s="237" t="s">
        <v>13</v>
      </c>
      <c r="F315" s="238"/>
      <c r="G315" s="45"/>
    </row>
    <row r="316" spans="1:7" s="51" customFormat="1">
      <c r="A316" s="47" t="s">
        <v>58</v>
      </c>
      <c r="B316" s="48">
        <v>36</v>
      </c>
      <c r="C316" s="151" t="str">
        <f xml:space="preserve"> IF(B316="","",setValueToTime(B316))</f>
        <v>3h</v>
      </c>
      <c r="D316" s="165" t="s">
        <v>95</v>
      </c>
      <c r="E316" s="239"/>
      <c r="F316" s="240"/>
      <c r="G316" s="50"/>
    </row>
    <row r="317" spans="1:7" s="51" customFormat="1">
      <c r="A317" s="52"/>
      <c r="B317" s="53"/>
      <c r="C317" s="152" t="str">
        <f t="shared" ref="C317:C323" si="26" xml:space="preserve"> IF(B317="","",setValueToTime(B317))</f>
        <v/>
      </c>
      <c r="D317" s="54"/>
      <c r="E317" s="241"/>
      <c r="F317" s="242"/>
      <c r="G317" s="50"/>
    </row>
    <row r="318" spans="1:7" s="51" customFormat="1">
      <c r="A318" s="52"/>
      <c r="B318" s="53"/>
      <c r="C318" s="152" t="str">
        <f t="shared" si="26"/>
        <v/>
      </c>
      <c r="D318" s="54"/>
      <c r="E318" s="241"/>
      <c r="F318" s="242"/>
      <c r="G318" s="50"/>
    </row>
    <row r="319" spans="1:7" s="51" customFormat="1">
      <c r="A319" s="52"/>
      <c r="B319" s="53"/>
      <c r="C319" s="152" t="str">
        <f t="shared" si="26"/>
        <v/>
      </c>
      <c r="D319" s="54"/>
      <c r="E319" s="241"/>
      <c r="F319" s="242"/>
      <c r="G319" s="50"/>
    </row>
    <row r="320" spans="1:7" s="51" customFormat="1">
      <c r="A320" s="53"/>
      <c r="B320" s="53"/>
      <c r="C320" s="153" t="str">
        <f t="shared" si="26"/>
        <v/>
      </c>
      <c r="D320" s="54"/>
      <c r="E320" s="241"/>
      <c r="F320" s="242"/>
      <c r="G320" s="50"/>
    </row>
    <row r="321" spans="1:7" s="51" customFormat="1">
      <c r="A321" s="53"/>
      <c r="B321" s="53"/>
      <c r="C321" s="153" t="str">
        <f t="shared" si="26"/>
        <v/>
      </c>
      <c r="D321" s="54"/>
      <c r="E321" s="241"/>
      <c r="F321" s="242"/>
      <c r="G321" s="50"/>
    </row>
    <row r="322" spans="1:7" s="51" customFormat="1">
      <c r="A322" s="53"/>
      <c r="B322" s="53"/>
      <c r="C322" s="153" t="str">
        <f t="shared" si="26"/>
        <v/>
      </c>
      <c r="D322" s="54"/>
      <c r="E322" s="241"/>
      <c r="F322" s="242"/>
      <c r="G322" s="50"/>
    </row>
    <row r="323" spans="1:7" s="51" customFormat="1" ht="15" thickBot="1">
      <c r="A323" s="55"/>
      <c r="B323" s="55"/>
      <c r="C323" s="154" t="str">
        <f t="shared" si="26"/>
        <v/>
      </c>
      <c r="D323" s="56"/>
      <c r="E323" s="243"/>
      <c r="F323" s="244"/>
      <c r="G323" s="50"/>
    </row>
    <row r="324" spans="1:7" s="51" customFormat="1" ht="15" thickBot="1">
      <c r="A324" s="110" t="s">
        <v>27</v>
      </c>
      <c r="B324" s="83">
        <f>SUM(B316:B323)</f>
        <v>36</v>
      </c>
      <c r="C324" s="110" t="str">
        <f xml:space="preserve"> setValueToTime(B324)</f>
        <v>3h</v>
      </c>
      <c r="D324" s="119"/>
      <c r="E324" s="235"/>
      <c r="F324" s="236"/>
      <c r="G324" s="50"/>
    </row>
    <row r="325" spans="1:7" s="58" customFormat="1" ht="15" thickBot="1">
      <c r="A325" s="78"/>
      <c r="B325" s="78"/>
      <c r="C325" s="78"/>
      <c r="D325" s="78"/>
      <c r="E325" s="78"/>
      <c r="F325" s="78"/>
      <c r="G325" s="57"/>
    </row>
    <row r="326" spans="1:7" s="46" customFormat="1" ht="30" customHeight="1" thickBot="1">
      <c r="A326" s="80" t="s">
        <v>11</v>
      </c>
      <c r="B326" s="162">
        <v>4</v>
      </c>
      <c r="C326" s="162"/>
      <c r="D326" s="81" t="s">
        <v>14</v>
      </c>
      <c r="E326" s="93">
        <v>44224</v>
      </c>
      <c r="F326" s="125" t="s">
        <v>91</v>
      </c>
      <c r="G326" s="45"/>
    </row>
    <row r="327" spans="1:7" s="46" customFormat="1" ht="30" customHeight="1" thickBot="1">
      <c r="A327" s="79" t="s">
        <v>4</v>
      </c>
      <c r="B327" s="149" t="s">
        <v>38</v>
      </c>
      <c r="C327" s="150"/>
      <c r="D327" s="79" t="s">
        <v>12</v>
      </c>
      <c r="E327" s="237" t="s">
        <v>13</v>
      </c>
      <c r="F327" s="238"/>
      <c r="G327" s="45"/>
    </row>
    <row r="328" spans="1:7" s="51" customFormat="1">
      <c r="A328" s="47" t="s">
        <v>50</v>
      </c>
      <c r="B328" s="48">
        <v>18</v>
      </c>
      <c r="C328" s="151" t="str">
        <f xml:space="preserve"> IF(B328="","",setValueToTime(B328))</f>
        <v>1h30min</v>
      </c>
      <c r="D328" s="165" t="s">
        <v>92</v>
      </c>
      <c r="E328" s="239"/>
      <c r="F328" s="240"/>
      <c r="G328" s="50"/>
    </row>
    <row r="329" spans="1:7" s="51" customFormat="1">
      <c r="A329" s="52" t="s">
        <v>58</v>
      </c>
      <c r="B329" s="53">
        <v>15</v>
      </c>
      <c r="C329" s="152" t="str">
        <f t="shared" ref="C329:C335" si="27" xml:space="preserve"> IF(B329="","",setValueToTime(B329))</f>
        <v>1h15min</v>
      </c>
      <c r="D329" s="166" t="s">
        <v>93</v>
      </c>
      <c r="E329" s="241"/>
      <c r="F329" s="242"/>
      <c r="G329" s="50"/>
    </row>
    <row r="330" spans="1:7" s="51" customFormat="1">
      <c r="A330" s="52" t="s">
        <v>15</v>
      </c>
      <c r="B330" s="53">
        <v>3</v>
      </c>
      <c r="C330" s="152" t="str">
        <f t="shared" si="27"/>
        <v>0h15min</v>
      </c>
      <c r="D330" s="166" t="s">
        <v>94</v>
      </c>
      <c r="E330" s="241"/>
      <c r="F330" s="242"/>
      <c r="G330" s="50"/>
    </row>
    <row r="331" spans="1:7" s="51" customFormat="1">
      <c r="A331" s="52"/>
      <c r="B331" s="53"/>
      <c r="C331" s="152" t="str">
        <f t="shared" si="27"/>
        <v/>
      </c>
      <c r="D331" s="54"/>
      <c r="E331" s="241"/>
      <c r="F331" s="242"/>
      <c r="G331" s="50"/>
    </row>
    <row r="332" spans="1:7" s="51" customFormat="1">
      <c r="A332" s="53"/>
      <c r="B332" s="53"/>
      <c r="C332" s="153" t="str">
        <f t="shared" si="27"/>
        <v/>
      </c>
      <c r="D332" s="54"/>
      <c r="E332" s="241"/>
      <c r="F332" s="242"/>
      <c r="G332" s="50"/>
    </row>
    <row r="333" spans="1:7" s="51" customFormat="1">
      <c r="A333" s="53"/>
      <c r="B333" s="53"/>
      <c r="C333" s="153" t="str">
        <f t="shared" si="27"/>
        <v/>
      </c>
      <c r="D333" s="54"/>
      <c r="E333" s="241"/>
      <c r="F333" s="242"/>
      <c r="G333" s="50"/>
    </row>
    <row r="334" spans="1:7" s="51" customFormat="1">
      <c r="A334" s="53"/>
      <c r="B334" s="53"/>
      <c r="C334" s="153" t="str">
        <f t="shared" si="27"/>
        <v/>
      </c>
      <c r="D334" s="54"/>
      <c r="E334" s="241"/>
      <c r="F334" s="242"/>
      <c r="G334" s="50"/>
    </row>
    <row r="335" spans="1:7" s="51" customFormat="1" ht="15" thickBot="1">
      <c r="A335" s="55"/>
      <c r="B335" s="55"/>
      <c r="C335" s="154" t="str">
        <f t="shared" si="27"/>
        <v/>
      </c>
      <c r="D335" s="56"/>
      <c r="E335" s="243"/>
      <c r="F335" s="244"/>
      <c r="G335" s="50"/>
    </row>
    <row r="336" spans="1:7" s="51" customFormat="1" ht="15" thickBot="1">
      <c r="A336" s="110" t="s">
        <v>27</v>
      </c>
      <c r="B336" s="83">
        <f>SUM(B328:B335)</f>
        <v>36</v>
      </c>
      <c r="C336" s="110" t="str">
        <f xml:space="preserve"> setValueToTime(B336)</f>
        <v>3h</v>
      </c>
      <c r="D336" s="119"/>
      <c r="E336" s="235"/>
      <c r="F336" s="236"/>
      <c r="G336" s="50"/>
    </row>
    <row r="337" spans="1:7" s="58" customFormat="1" ht="15" thickBot="1">
      <c r="A337" s="78"/>
      <c r="B337" s="78"/>
      <c r="C337" s="78"/>
      <c r="D337" s="78"/>
      <c r="E337" s="78"/>
      <c r="F337" s="78"/>
      <c r="G337" s="57"/>
    </row>
    <row r="338" spans="1:7" s="46" customFormat="1" ht="30" customHeight="1" thickBot="1">
      <c r="A338" s="80" t="s">
        <v>11</v>
      </c>
      <c r="B338" s="162">
        <v>3</v>
      </c>
      <c r="C338" s="162"/>
      <c r="D338" s="81" t="s">
        <v>14</v>
      </c>
      <c r="E338" s="93">
        <v>44224</v>
      </c>
      <c r="F338" s="125" t="s">
        <v>86</v>
      </c>
      <c r="G338" s="45"/>
    </row>
    <row r="339" spans="1:7" s="46" customFormat="1" ht="30" customHeight="1" thickBot="1">
      <c r="A339" s="79" t="s">
        <v>4</v>
      </c>
      <c r="B339" s="149" t="s">
        <v>38</v>
      </c>
      <c r="C339" s="150"/>
      <c r="D339" s="79" t="s">
        <v>12</v>
      </c>
      <c r="E339" s="237" t="s">
        <v>13</v>
      </c>
      <c r="F339" s="238"/>
      <c r="G339" s="45"/>
    </row>
    <row r="340" spans="1:7" s="51" customFormat="1">
      <c r="A340" s="47" t="s">
        <v>15</v>
      </c>
      <c r="B340" s="48">
        <v>12</v>
      </c>
      <c r="C340" s="151" t="str">
        <f xml:space="preserve"> IF(B340="","",setValueToTime(B340))</f>
        <v>1h</v>
      </c>
      <c r="D340" s="165" t="s">
        <v>87</v>
      </c>
      <c r="E340" s="239"/>
      <c r="F340" s="240"/>
      <c r="G340" s="50"/>
    </row>
    <row r="341" spans="1:7" s="51" customFormat="1">
      <c r="A341" s="52" t="s">
        <v>50</v>
      </c>
      <c r="B341" s="53">
        <v>18</v>
      </c>
      <c r="C341" s="152" t="str">
        <f t="shared" ref="C341:C347" si="28" xml:space="preserve"> IF(B341="","",setValueToTime(B341))</f>
        <v>1h30min</v>
      </c>
      <c r="D341" s="166" t="s">
        <v>88</v>
      </c>
      <c r="E341" s="241"/>
      <c r="F341" s="242"/>
      <c r="G341" s="50"/>
    </row>
    <row r="342" spans="1:7" s="51" customFormat="1">
      <c r="A342" s="52" t="s">
        <v>52</v>
      </c>
      <c r="B342" s="53">
        <v>12</v>
      </c>
      <c r="C342" s="152" t="str">
        <f t="shared" si="28"/>
        <v>1h</v>
      </c>
      <c r="D342" s="166" t="s">
        <v>89</v>
      </c>
      <c r="E342" s="241"/>
      <c r="F342" s="242"/>
      <c r="G342" s="50"/>
    </row>
    <row r="343" spans="1:7" s="51" customFormat="1">
      <c r="A343" s="52" t="s">
        <v>15</v>
      </c>
      <c r="B343" s="53">
        <v>3</v>
      </c>
      <c r="C343" s="152" t="str">
        <f t="shared" si="28"/>
        <v>0h15min</v>
      </c>
      <c r="D343" s="166" t="s">
        <v>90</v>
      </c>
      <c r="E343" s="241"/>
      <c r="F343" s="242"/>
      <c r="G343" s="50"/>
    </row>
    <row r="344" spans="1:7" s="51" customFormat="1">
      <c r="A344" s="53"/>
      <c r="B344" s="53"/>
      <c r="C344" s="153" t="str">
        <f t="shared" si="28"/>
        <v/>
      </c>
      <c r="D344" s="54"/>
      <c r="E344" s="241"/>
      <c r="F344" s="242"/>
      <c r="G344" s="50"/>
    </row>
    <row r="345" spans="1:7" s="51" customFormat="1">
      <c r="A345" s="53"/>
      <c r="B345" s="53"/>
      <c r="C345" s="153" t="str">
        <f t="shared" si="28"/>
        <v/>
      </c>
      <c r="D345" s="54"/>
      <c r="E345" s="241"/>
      <c r="F345" s="242"/>
      <c r="G345" s="50"/>
    </row>
    <row r="346" spans="1:7" s="51" customFormat="1">
      <c r="A346" s="53"/>
      <c r="B346" s="53"/>
      <c r="C346" s="153" t="str">
        <f t="shared" si="28"/>
        <v/>
      </c>
      <c r="D346" s="54"/>
      <c r="E346" s="241"/>
      <c r="F346" s="242"/>
      <c r="G346" s="50"/>
    </row>
    <row r="347" spans="1:7" s="51" customFormat="1" ht="15" thickBot="1">
      <c r="A347" s="55"/>
      <c r="B347" s="55"/>
      <c r="C347" s="154" t="str">
        <f t="shared" si="28"/>
        <v/>
      </c>
      <c r="D347" s="56"/>
      <c r="E347" s="243"/>
      <c r="F347" s="244"/>
      <c r="G347" s="50"/>
    </row>
    <row r="348" spans="1:7" s="51" customFormat="1" ht="15" thickBot="1">
      <c r="A348" s="110" t="s">
        <v>27</v>
      </c>
      <c r="B348" s="83">
        <f>SUM(B340:B347)</f>
        <v>45</v>
      </c>
      <c r="C348" s="110" t="str">
        <f xml:space="preserve"> setValueToTime(B348)</f>
        <v>3h45min</v>
      </c>
      <c r="D348" s="119"/>
      <c r="E348" s="235"/>
      <c r="F348" s="236"/>
      <c r="G348" s="50"/>
    </row>
    <row r="349" spans="1:7" s="58" customFormat="1" ht="15" thickBot="1">
      <c r="A349" s="78"/>
      <c r="B349" s="78"/>
      <c r="C349" s="78"/>
      <c r="D349" s="78"/>
      <c r="E349" s="78"/>
      <c r="F349" s="78"/>
      <c r="G349" s="57"/>
    </row>
    <row r="350" spans="1:7" s="46" customFormat="1" ht="30" customHeight="1" thickBot="1">
      <c r="A350" s="80" t="s">
        <v>11</v>
      </c>
      <c r="B350" s="162">
        <v>2</v>
      </c>
      <c r="C350" s="162"/>
      <c r="D350" s="81" t="s">
        <v>14</v>
      </c>
      <c r="E350" s="93">
        <v>44223</v>
      </c>
      <c r="F350" s="125" t="s">
        <v>75</v>
      </c>
      <c r="G350" s="45"/>
    </row>
    <row r="351" spans="1:7" s="46" customFormat="1" ht="30" customHeight="1" thickBot="1">
      <c r="A351" s="79" t="s">
        <v>4</v>
      </c>
      <c r="B351" s="149" t="s">
        <v>38</v>
      </c>
      <c r="C351" s="150"/>
      <c r="D351" s="79" t="s">
        <v>12</v>
      </c>
      <c r="E351" s="237" t="s">
        <v>13</v>
      </c>
      <c r="F351" s="238"/>
      <c r="G351" s="45"/>
    </row>
    <row r="352" spans="1:7" s="51" customFormat="1">
      <c r="A352" s="47" t="s">
        <v>58</v>
      </c>
      <c r="B352" s="48">
        <v>36</v>
      </c>
      <c r="C352" s="151"/>
      <c r="D352" s="165" t="s">
        <v>76</v>
      </c>
      <c r="E352" s="239"/>
      <c r="F352" s="240"/>
      <c r="G352" s="50"/>
    </row>
    <row r="353" spans="1:7" s="51" customFormat="1">
      <c r="A353" s="52" t="s">
        <v>57</v>
      </c>
      <c r="B353" s="53">
        <v>15</v>
      </c>
      <c r="C353" s="152"/>
      <c r="D353" s="166" t="s">
        <v>78</v>
      </c>
      <c r="E353" s="241"/>
      <c r="F353" s="242"/>
      <c r="G353" s="50"/>
    </row>
    <row r="354" spans="1:7" s="51" customFormat="1">
      <c r="A354" s="52"/>
      <c r="B354" s="53"/>
      <c r="C354" s="152" t="str">
        <f t="shared" ref="C354:C359" si="29" xml:space="preserve"> IF(B354="","",setValueToTime(B354))</f>
        <v/>
      </c>
      <c r="D354" s="54"/>
      <c r="E354" s="241"/>
      <c r="F354" s="242"/>
      <c r="G354" s="50"/>
    </row>
    <row r="355" spans="1:7" s="51" customFormat="1">
      <c r="A355" s="52"/>
      <c r="B355" s="53"/>
      <c r="C355" s="152" t="str">
        <f t="shared" si="29"/>
        <v/>
      </c>
      <c r="D355" s="54"/>
      <c r="E355" s="241"/>
      <c r="F355" s="242"/>
      <c r="G355" s="50"/>
    </row>
    <row r="356" spans="1:7" s="51" customFormat="1">
      <c r="A356" s="53"/>
      <c r="B356" s="53"/>
      <c r="C356" s="153" t="str">
        <f t="shared" si="29"/>
        <v/>
      </c>
      <c r="D356" s="54"/>
      <c r="E356" s="241"/>
      <c r="F356" s="242"/>
      <c r="G356" s="50"/>
    </row>
    <row r="357" spans="1:7" s="51" customFormat="1">
      <c r="A357" s="53"/>
      <c r="B357" s="53"/>
      <c r="C357" s="153" t="str">
        <f t="shared" si="29"/>
        <v/>
      </c>
      <c r="D357" s="54"/>
      <c r="E357" s="241"/>
      <c r="F357" s="242"/>
      <c r="G357" s="50"/>
    </row>
    <row r="358" spans="1:7" s="51" customFormat="1">
      <c r="A358" s="53"/>
      <c r="B358" s="53"/>
      <c r="C358" s="153" t="str">
        <f t="shared" si="29"/>
        <v/>
      </c>
      <c r="D358" s="54"/>
      <c r="E358" s="241"/>
      <c r="F358" s="242"/>
      <c r="G358" s="50"/>
    </row>
    <row r="359" spans="1:7" s="51" customFormat="1" ht="15" thickBot="1">
      <c r="A359" s="55"/>
      <c r="B359" s="55"/>
      <c r="C359" s="154" t="str">
        <f t="shared" si="29"/>
        <v/>
      </c>
      <c r="D359" s="56"/>
      <c r="E359" s="243"/>
      <c r="F359" s="244"/>
      <c r="G359" s="50"/>
    </row>
    <row r="360" spans="1:7" s="51" customFormat="1" ht="15" thickBot="1">
      <c r="A360" s="110" t="s">
        <v>27</v>
      </c>
      <c r="B360" s="83">
        <f>SUM(B352:B359)</f>
        <v>51</v>
      </c>
      <c r="C360" s="110" t="str">
        <f xml:space="preserve"> setValueToTime(B360)</f>
        <v>4h15min</v>
      </c>
      <c r="D360" s="119"/>
      <c r="E360" s="235"/>
      <c r="F360" s="236"/>
      <c r="G360" s="50"/>
    </row>
    <row r="361" spans="1:7" s="58" customFormat="1" ht="15" thickBot="1">
      <c r="A361" s="78"/>
      <c r="B361" s="78"/>
      <c r="C361" s="78"/>
      <c r="D361" s="78"/>
      <c r="E361" s="78"/>
      <c r="F361" s="78"/>
      <c r="G361" s="57"/>
    </row>
    <row r="362" spans="1:7" s="46" customFormat="1" ht="30" customHeight="1" thickBot="1">
      <c r="A362" s="80" t="s">
        <v>11</v>
      </c>
      <c r="B362" s="162">
        <v>1</v>
      </c>
      <c r="C362" s="162"/>
      <c r="D362" s="81" t="s">
        <v>14</v>
      </c>
      <c r="E362" s="93">
        <v>44223</v>
      </c>
      <c r="F362" s="125" t="s">
        <v>74</v>
      </c>
      <c r="G362" s="45"/>
    </row>
    <row r="363" spans="1:7" s="46" customFormat="1" ht="30" customHeight="1" thickBot="1">
      <c r="A363" s="79" t="s">
        <v>4</v>
      </c>
      <c r="B363" s="149" t="s">
        <v>38</v>
      </c>
      <c r="C363" s="150"/>
      <c r="D363" s="79" t="s">
        <v>12</v>
      </c>
      <c r="E363" s="237" t="s">
        <v>13</v>
      </c>
      <c r="F363" s="238"/>
      <c r="G363" s="45"/>
    </row>
    <row r="364" spans="1:7" s="51" customFormat="1">
      <c r="A364" s="47" t="s">
        <v>51</v>
      </c>
      <c r="B364" s="48">
        <v>12</v>
      </c>
      <c r="C364" s="152" t="str">
        <f xml:space="preserve"> IF(B364="","",setValueToTime(B364))</f>
        <v>1h</v>
      </c>
      <c r="D364" s="165" t="s">
        <v>68</v>
      </c>
      <c r="E364" s="239"/>
      <c r="F364" s="240"/>
      <c r="G364" s="50"/>
    </row>
    <row r="365" spans="1:7" s="51" customFormat="1">
      <c r="A365" s="52" t="s">
        <v>56</v>
      </c>
      <c r="B365" s="53">
        <v>9</v>
      </c>
      <c r="C365" s="152" t="str">
        <f xml:space="preserve"> IF(B365="","",setValueToTime(B365))</f>
        <v>0h45min</v>
      </c>
      <c r="D365" s="166" t="s">
        <v>70</v>
      </c>
      <c r="E365" s="241"/>
      <c r="F365" s="242"/>
      <c r="G365" s="50"/>
    </row>
    <row r="366" spans="1:7" s="51" customFormat="1" ht="27">
      <c r="A366" s="52" t="s">
        <v>64</v>
      </c>
      <c r="B366" s="53">
        <v>9</v>
      </c>
      <c r="C366" s="152" t="str">
        <f t="shared" ref="C366:C371" si="30" xml:space="preserve"> IF(B366="","",setValueToTime(B366))</f>
        <v>0h45min</v>
      </c>
      <c r="D366" s="166" t="s">
        <v>72</v>
      </c>
      <c r="E366" s="241"/>
      <c r="F366" s="242"/>
      <c r="G366" s="50"/>
    </row>
    <row r="367" spans="1:7" s="51" customFormat="1" ht="27">
      <c r="A367" s="52" t="s">
        <v>65</v>
      </c>
      <c r="B367" s="53">
        <v>9</v>
      </c>
      <c r="C367" s="152" t="str">
        <f t="shared" si="30"/>
        <v>0h45min</v>
      </c>
      <c r="D367" s="166" t="s">
        <v>73</v>
      </c>
      <c r="E367" s="241"/>
      <c r="F367" s="242"/>
      <c r="G367" s="50"/>
    </row>
    <row r="368" spans="1:7" s="51" customFormat="1">
      <c r="A368" s="53" t="s">
        <v>58</v>
      </c>
      <c r="B368" s="53">
        <v>12</v>
      </c>
      <c r="C368" s="153" t="str">
        <f t="shared" si="30"/>
        <v>1h</v>
      </c>
      <c r="D368" s="166" t="s">
        <v>77</v>
      </c>
      <c r="E368" s="241"/>
      <c r="F368" s="242"/>
      <c r="G368" s="50"/>
    </row>
    <row r="369" spans="1:7" s="51" customFormat="1">
      <c r="A369" s="53"/>
      <c r="B369" s="53"/>
      <c r="C369" s="153" t="str">
        <f t="shared" si="30"/>
        <v/>
      </c>
      <c r="D369" s="54"/>
      <c r="E369" s="241"/>
      <c r="F369" s="242"/>
      <c r="G369" s="50"/>
    </row>
    <row r="370" spans="1:7" s="51" customFormat="1">
      <c r="A370" s="53"/>
      <c r="B370" s="53"/>
      <c r="C370" s="153" t="str">
        <f t="shared" si="30"/>
        <v/>
      </c>
      <c r="D370" s="54"/>
      <c r="E370" s="241"/>
      <c r="F370" s="242"/>
      <c r="G370" s="50"/>
    </row>
    <row r="371" spans="1:7" s="51" customFormat="1" ht="15" thickBot="1">
      <c r="A371" s="55"/>
      <c r="B371" s="55"/>
      <c r="C371" s="154" t="str">
        <f t="shared" si="30"/>
        <v/>
      </c>
      <c r="D371" s="56"/>
      <c r="E371" s="243"/>
      <c r="F371" s="244"/>
      <c r="G371" s="50"/>
    </row>
    <row r="372" spans="1:7" s="51" customFormat="1" ht="15" thickBot="1">
      <c r="A372" s="110" t="s">
        <v>27</v>
      </c>
      <c r="B372" s="83">
        <f>SUM(B364:B371)</f>
        <v>51</v>
      </c>
      <c r="C372" s="110" t="str">
        <f xml:space="preserve"> setValueToTime(B372)</f>
        <v>4h15min</v>
      </c>
      <c r="D372" s="119"/>
      <c r="E372" s="235"/>
      <c r="F372" s="236"/>
      <c r="G372" s="50"/>
    </row>
    <row r="373" spans="1:7" s="58" customFormat="1">
      <c r="A373" s="78"/>
      <c r="B373" s="78"/>
      <c r="C373" s="78"/>
      <c r="D373" s="78"/>
      <c r="E373" s="78"/>
      <c r="F373" s="78"/>
      <c r="G373" s="57"/>
    </row>
  </sheetData>
  <sheetProtection formatRows="0" insertRows="0" insertHyperlinks="0" deleteRows="0" selectLockedCells="1"/>
  <mergeCells count="310">
    <mergeCell ref="E36:F36"/>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224:F224"/>
    <mergeCell ref="E225:F225"/>
    <mergeCell ref="E226:F226"/>
    <mergeCell ref="E227:F227"/>
    <mergeCell ref="E228:F228"/>
    <mergeCell ref="E219:F219"/>
    <mergeCell ref="E220:F220"/>
    <mergeCell ref="E221:F221"/>
    <mergeCell ref="E222:F222"/>
    <mergeCell ref="E223:F223"/>
    <mergeCell ref="E236:F236"/>
    <mergeCell ref="E237:F237"/>
    <mergeCell ref="E238:F238"/>
    <mergeCell ref="E239:F239"/>
    <mergeCell ref="E240:F240"/>
    <mergeCell ref="E231:F231"/>
    <mergeCell ref="E232:F232"/>
    <mergeCell ref="E233:F233"/>
    <mergeCell ref="E234:F234"/>
    <mergeCell ref="E235:F235"/>
    <mergeCell ref="E248:F248"/>
    <mergeCell ref="E249:F249"/>
    <mergeCell ref="E250:F250"/>
    <mergeCell ref="E251:F251"/>
    <mergeCell ref="E252:F252"/>
    <mergeCell ref="E243:F243"/>
    <mergeCell ref="E244:F244"/>
    <mergeCell ref="E245:F245"/>
    <mergeCell ref="E246:F246"/>
    <mergeCell ref="E247:F247"/>
    <mergeCell ref="E260:F260"/>
    <mergeCell ref="E261:F261"/>
    <mergeCell ref="E262:F262"/>
    <mergeCell ref="E263:F263"/>
    <mergeCell ref="E264:F264"/>
    <mergeCell ref="E255:F255"/>
    <mergeCell ref="E256:F256"/>
    <mergeCell ref="E257:F257"/>
    <mergeCell ref="E258:F258"/>
    <mergeCell ref="E259:F259"/>
    <mergeCell ref="E272:F272"/>
    <mergeCell ref="E273:F273"/>
    <mergeCell ref="E274:F274"/>
    <mergeCell ref="E275:F275"/>
    <mergeCell ref="E276:F276"/>
    <mergeCell ref="E267:F267"/>
    <mergeCell ref="E268:F268"/>
    <mergeCell ref="E269:F269"/>
    <mergeCell ref="E270:F270"/>
    <mergeCell ref="E271:F271"/>
    <mergeCell ref="E284:F284"/>
    <mergeCell ref="E285:F285"/>
    <mergeCell ref="E286:F286"/>
    <mergeCell ref="E287:F287"/>
    <mergeCell ref="E288:F288"/>
    <mergeCell ref="E279:F279"/>
    <mergeCell ref="E280:F280"/>
    <mergeCell ref="E281:F281"/>
    <mergeCell ref="E282:F282"/>
    <mergeCell ref="E283:F283"/>
    <mergeCell ref="E296:F296"/>
    <mergeCell ref="E297:F297"/>
    <mergeCell ref="E298:F298"/>
    <mergeCell ref="E299:F299"/>
    <mergeCell ref="E300:F300"/>
    <mergeCell ref="E291:F291"/>
    <mergeCell ref="E292:F292"/>
    <mergeCell ref="E293:F293"/>
    <mergeCell ref="E294:F294"/>
    <mergeCell ref="E295:F295"/>
    <mergeCell ref="E308:F308"/>
    <mergeCell ref="E309:F309"/>
    <mergeCell ref="E310:F310"/>
    <mergeCell ref="E311:F311"/>
    <mergeCell ref="E312:F312"/>
    <mergeCell ref="E303:F303"/>
    <mergeCell ref="E304:F304"/>
    <mergeCell ref="E305:F305"/>
    <mergeCell ref="E306:F306"/>
    <mergeCell ref="E307:F307"/>
    <mergeCell ref="E320:F320"/>
    <mergeCell ref="E321:F321"/>
    <mergeCell ref="E322:F322"/>
    <mergeCell ref="E323:F323"/>
    <mergeCell ref="E324:F324"/>
    <mergeCell ref="E315:F315"/>
    <mergeCell ref="E316:F316"/>
    <mergeCell ref="E317:F317"/>
    <mergeCell ref="E318:F318"/>
    <mergeCell ref="E319:F319"/>
    <mergeCell ref="E348:F348"/>
    <mergeCell ref="E332:F332"/>
    <mergeCell ref="E333:F333"/>
    <mergeCell ref="E334:F334"/>
    <mergeCell ref="E335:F335"/>
    <mergeCell ref="E336:F336"/>
    <mergeCell ref="E327:F327"/>
    <mergeCell ref="E328:F328"/>
    <mergeCell ref="E329:F329"/>
    <mergeCell ref="E330:F330"/>
    <mergeCell ref="E331:F331"/>
    <mergeCell ref="E339:F339"/>
    <mergeCell ref="E340:F340"/>
    <mergeCell ref="E341:F341"/>
    <mergeCell ref="E342:F342"/>
    <mergeCell ref="E343:F343"/>
    <mergeCell ref="E344:F344"/>
    <mergeCell ref="E345:F345"/>
    <mergeCell ref="E346:F346"/>
    <mergeCell ref="E347:F347"/>
    <mergeCell ref="E370:F370"/>
    <mergeCell ref="E371:F371"/>
    <mergeCell ref="E372:F372"/>
    <mergeCell ref="E351:F351"/>
    <mergeCell ref="E352:F352"/>
    <mergeCell ref="E353:F353"/>
    <mergeCell ref="E354:F354"/>
    <mergeCell ref="E355:F355"/>
    <mergeCell ref="E356:F356"/>
    <mergeCell ref="E363:F363"/>
    <mergeCell ref="E364:F364"/>
    <mergeCell ref="E365:F365"/>
    <mergeCell ref="E366:F366"/>
    <mergeCell ref="E367:F367"/>
    <mergeCell ref="E368:F368"/>
    <mergeCell ref="E357:F357"/>
    <mergeCell ref="E358:F358"/>
    <mergeCell ref="E359:F359"/>
    <mergeCell ref="E360:F360"/>
    <mergeCell ref="E369:F36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35:F135"/>
    <mergeCell ref="E136:F136"/>
    <mergeCell ref="E137:F137"/>
    <mergeCell ref="E138:F138"/>
    <mergeCell ref="E139:F139"/>
    <mergeCell ref="E140:F140"/>
    <mergeCell ref="E141:F141"/>
    <mergeCell ref="E142:F142"/>
    <mergeCell ref="E143:F14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372">
    <cfRule type="cellIs" dxfId="63" priority="31" operator="greaterThan">
      <formula>60</formula>
    </cfRule>
  </conditionalFormatting>
  <conditionalFormatting sqref="B360">
    <cfRule type="cellIs" dxfId="62" priority="30" operator="greaterThan">
      <formula>60</formula>
    </cfRule>
  </conditionalFormatting>
  <conditionalFormatting sqref="B348">
    <cfRule type="cellIs" dxfId="61" priority="29" operator="greaterThan">
      <formula>60</formula>
    </cfRule>
  </conditionalFormatting>
  <conditionalFormatting sqref="B336">
    <cfRule type="cellIs" dxfId="60" priority="28" operator="greaterThan">
      <formula>60</formula>
    </cfRule>
  </conditionalFormatting>
  <conditionalFormatting sqref="B324">
    <cfRule type="cellIs" dxfId="59" priority="27" operator="greaterThan">
      <formula>60</formula>
    </cfRule>
  </conditionalFormatting>
  <conditionalFormatting sqref="B312">
    <cfRule type="cellIs" dxfId="58" priority="26" operator="greaterThan">
      <formula>60</formula>
    </cfRule>
  </conditionalFormatting>
  <conditionalFormatting sqref="B300">
    <cfRule type="cellIs" dxfId="57" priority="25" operator="greaterThan">
      <formula>60</formula>
    </cfRule>
  </conditionalFormatting>
  <conditionalFormatting sqref="B288">
    <cfRule type="cellIs" dxfId="56" priority="24" operator="greaterThan">
      <formula>60</formula>
    </cfRule>
  </conditionalFormatting>
  <conditionalFormatting sqref="B276">
    <cfRule type="cellIs" dxfId="55" priority="23" operator="greaterThan">
      <formula>60</formula>
    </cfRule>
  </conditionalFormatting>
  <conditionalFormatting sqref="B264">
    <cfRule type="cellIs" dxfId="54" priority="22" operator="greaterThan">
      <formula>60</formula>
    </cfRule>
  </conditionalFormatting>
  <conditionalFormatting sqref="B252">
    <cfRule type="cellIs" dxfId="53" priority="21" operator="greaterThan">
      <formula>60</formula>
    </cfRule>
  </conditionalFormatting>
  <conditionalFormatting sqref="B240">
    <cfRule type="cellIs" dxfId="52" priority="20" operator="greaterThan">
      <formula>60</formula>
    </cfRule>
  </conditionalFormatting>
  <conditionalFormatting sqref="B228">
    <cfRule type="cellIs" dxfId="51" priority="19" operator="greaterThan">
      <formula>60</formula>
    </cfRule>
  </conditionalFormatting>
  <conditionalFormatting sqref="B216">
    <cfRule type="cellIs" dxfId="50" priority="18" operator="greaterThan">
      <formula>60</formula>
    </cfRule>
  </conditionalFormatting>
  <conditionalFormatting sqref="B204">
    <cfRule type="cellIs" dxfId="49" priority="17" operator="greaterThan">
      <formula>60</formula>
    </cfRule>
  </conditionalFormatting>
  <conditionalFormatting sqref="B192">
    <cfRule type="cellIs" dxfId="48" priority="16" operator="greaterThan">
      <formula>60</formula>
    </cfRule>
  </conditionalFormatting>
  <conditionalFormatting sqref="B180">
    <cfRule type="cellIs" dxfId="47" priority="15" operator="greaterThan">
      <formula>60</formula>
    </cfRule>
  </conditionalFormatting>
  <conditionalFormatting sqref="B168">
    <cfRule type="cellIs" dxfId="46" priority="14" operator="greaterThan">
      <formula>60</formula>
    </cfRule>
  </conditionalFormatting>
  <conditionalFormatting sqref="B156">
    <cfRule type="cellIs" dxfId="45" priority="13" operator="greaterThan">
      <formula>60</formula>
    </cfRule>
  </conditionalFormatting>
  <conditionalFormatting sqref="B144">
    <cfRule type="cellIs" dxfId="44" priority="12" operator="greaterThan">
      <formula>60</formula>
    </cfRule>
  </conditionalFormatting>
  <conditionalFormatting sqref="B132">
    <cfRule type="cellIs" dxfId="43" priority="11" operator="greaterThan">
      <formula>60</formula>
    </cfRule>
  </conditionalFormatting>
  <conditionalFormatting sqref="B120">
    <cfRule type="cellIs" dxfId="42" priority="10" operator="greaterThan">
      <formula>60</formula>
    </cfRule>
  </conditionalFormatting>
  <conditionalFormatting sqref="B108">
    <cfRule type="cellIs" dxfId="41" priority="9" operator="greaterThan">
      <formula>60</formula>
    </cfRule>
  </conditionalFormatting>
  <conditionalFormatting sqref="B96">
    <cfRule type="cellIs" dxfId="40" priority="8" operator="greaterThan">
      <formula>60</formula>
    </cfRule>
  </conditionalFormatting>
  <conditionalFormatting sqref="B84">
    <cfRule type="cellIs" dxfId="39" priority="7" operator="greaterThan">
      <formula>60</formula>
    </cfRule>
  </conditionalFormatting>
  <conditionalFormatting sqref="B72">
    <cfRule type="cellIs" dxfId="38" priority="6" operator="greaterThan">
      <formula>60</formula>
    </cfRule>
  </conditionalFormatting>
  <conditionalFormatting sqref="B60">
    <cfRule type="cellIs" dxfId="37" priority="5" operator="greaterThan">
      <formula>60</formula>
    </cfRule>
  </conditionalFormatting>
  <conditionalFormatting sqref="B48">
    <cfRule type="cellIs" dxfId="36" priority="4" operator="greaterThan">
      <formula>60</formula>
    </cfRule>
  </conditionalFormatting>
  <conditionalFormatting sqref="B36">
    <cfRule type="cellIs" dxfId="35" priority="3" operator="greaterThan">
      <formula>60</formula>
    </cfRule>
  </conditionalFormatting>
  <conditionalFormatting sqref="B24">
    <cfRule type="cellIs" dxfId="34" priority="2" operator="greaterThan">
      <formula>60</formula>
    </cfRule>
  </conditionalFormatting>
  <conditionalFormatting sqref="B12">
    <cfRule type="cellIs" dxfId="33"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52:B359 B364:B371 B340:B347 B328:B335 B316:B323 B304:B311 B292:B299 B280:B287 B268:B275 B256:B263 B244:B251 B232:B239 B220:B227 B208:B215 B196:B203 B184:B191 B172:B179 B160:B167 B148:B155 B136:B143 B124:B131 B112:B119 B100:B107 B88:B95 B76:B83 B64:B71 B52:B59 B40:B47 B28:B35 B4:B11 B16:B23">
      <formula1>0</formula1>
    </dataValidation>
    <dataValidation type="list" allowBlank="1" showInputMessage="1" showErrorMessage="1" sqref="A352:A359 A364:A371 A340:A347 A328:A335 A316:A323 A304:A311 A292:A299 A280:A287 A268:A275 A256:A263 A244:A251 A232:A239 A220:A227 A208:A215 A196:A203 A184:A191 A172:A179 A160:A167 A148:A155 A136:A143 A124:A131 A112:A119 A100:A107 A88:A95 A76:A83 A64:A71 A52:A59 A40:A47 A28:A35 A4:A11 A16:A23">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73"/>
  <sheetViews>
    <sheetView showGridLines="0" tabSelected="1" zoomScaleNormal="100" zoomScaleSheetLayoutView="98" workbookViewId="0">
      <pane ySplit="1" topLeftCell="A2" activePane="bottomLeft" state="frozen"/>
      <selection pane="bottomLeft" activeCell="D10" sqref="D10"/>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31</v>
      </c>
      <c r="C2" s="163"/>
      <c r="D2" s="156" t="s">
        <v>14</v>
      </c>
      <c r="E2" s="157" t="s">
        <v>199</v>
      </c>
      <c r="F2" s="158" t="s">
        <v>75</v>
      </c>
      <c r="G2" s="45"/>
    </row>
    <row r="3" spans="1:7" s="46" customFormat="1" ht="30" customHeight="1" thickBot="1">
      <c r="A3" s="77" t="s">
        <v>4</v>
      </c>
      <c r="B3" s="160" t="s">
        <v>38</v>
      </c>
      <c r="C3" s="159"/>
      <c r="D3" s="77" t="s">
        <v>12</v>
      </c>
      <c r="E3" s="247" t="s">
        <v>13</v>
      </c>
      <c r="F3" s="248"/>
      <c r="G3" s="45"/>
    </row>
    <row r="4" spans="1:7" s="51" customFormat="1">
      <c r="A4" s="47" t="s">
        <v>63</v>
      </c>
      <c r="B4" s="48">
        <v>12</v>
      </c>
      <c r="C4" s="151" t="str">
        <f xml:space="preserve"> IF(B4="","",setValueToTime(B4))</f>
        <v>1h</v>
      </c>
      <c r="D4" s="165" t="s">
        <v>201</v>
      </c>
      <c r="E4" s="239"/>
      <c r="F4" s="240"/>
      <c r="G4" s="50"/>
    </row>
    <row r="5" spans="1:7" s="51" customFormat="1" ht="40.5">
      <c r="A5" s="52" t="s">
        <v>58</v>
      </c>
      <c r="B5" s="53">
        <v>12</v>
      </c>
      <c r="C5" s="152" t="str">
        <f t="shared" ref="C5:C11" si="0" xml:space="preserve"> IF(B5="","",setValueToTime(B5))</f>
        <v>1h</v>
      </c>
      <c r="D5" s="166" t="s">
        <v>202</v>
      </c>
      <c r="E5" s="241"/>
      <c r="F5" s="242"/>
      <c r="G5" s="50"/>
    </row>
    <row r="6" spans="1:7" s="51" customFormat="1">
      <c r="A6" s="52" t="s">
        <v>60</v>
      </c>
      <c r="B6" s="53">
        <v>9</v>
      </c>
      <c r="C6" s="152" t="str">
        <f t="shared" si="0"/>
        <v>0h45min</v>
      </c>
      <c r="D6" s="166" t="s">
        <v>203</v>
      </c>
      <c r="E6" s="241"/>
      <c r="F6" s="242"/>
      <c r="G6" s="50"/>
    </row>
    <row r="7" spans="1:7" s="51" customFormat="1">
      <c r="A7" s="52" t="s">
        <v>15</v>
      </c>
      <c r="B7" s="53">
        <v>3</v>
      </c>
      <c r="C7" s="152" t="str">
        <f t="shared" si="0"/>
        <v>0h15min</v>
      </c>
      <c r="D7" s="166" t="s">
        <v>106</v>
      </c>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61" t="s">
        <v>27</v>
      </c>
      <c r="B12" s="82">
        <f>SUM(B4:B11)</f>
        <v>36</v>
      </c>
      <c r="C12" s="161" t="str">
        <f xml:space="preserve"> setValueToTime(B12)</f>
        <v>3h</v>
      </c>
      <c r="D12" s="120"/>
      <c r="E12" s="245"/>
      <c r="F12" s="246"/>
      <c r="G12" s="50"/>
    </row>
    <row r="13" spans="1:7" s="58" customFormat="1" ht="15" thickBot="1">
      <c r="A13" s="76"/>
      <c r="B13" s="76"/>
      <c r="C13" s="76"/>
      <c r="D13" s="76"/>
      <c r="E13" s="76"/>
      <c r="F13" s="76"/>
      <c r="G13" s="57"/>
    </row>
    <row r="14" spans="1:7" s="46" customFormat="1" ht="30" customHeight="1" thickBot="1">
      <c r="A14" s="155" t="s">
        <v>11</v>
      </c>
      <c r="B14" s="163">
        <v>30</v>
      </c>
      <c r="C14" s="163"/>
      <c r="D14" s="156" t="s">
        <v>14</v>
      </c>
      <c r="E14" s="157" t="s">
        <v>199</v>
      </c>
      <c r="F14" s="158" t="s">
        <v>74</v>
      </c>
      <c r="G14" s="45"/>
    </row>
    <row r="15" spans="1:7" s="46" customFormat="1" ht="30" customHeight="1" thickBot="1">
      <c r="A15" s="77" t="s">
        <v>4</v>
      </c>
      <c r="B15" s="160" t="s">
        <v>38</v>
      </c>
      <c r="C15" s="159"/>
      <c r="D15" s="77" t="s">
        <v>12</v>
      </c>
      <c r="E15" s="247" t="s">
        <v>13</v>
      </c>
      <c r="F15" s="248"/>
      <c r="G15" s="45"/>
    </row>
    <row r="16" spans="1:7" s="51" customFormat="1" ht="27">
      <c r="A16" s="47" t="s">
        <v>63</v>
      </c>
      <c r="B16" s="48">
        <v>42</v>
      </c>
      <c r="C16" s="151" t="str">
        <f xml:space="preserve"> IF(B16="","",setValueToTime(B16))</f>
        <v>3h30min</v>
      </c>
      <c r="D16" s="165" t="s">
        <v>200</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27.75" thickBot="1">
      <c r="A24" s="161" t="s">
        <v>27</v>
      </c>
      <c r="B24" s="82">
        <f>SUM(B16:B23)</f>
        <v>45</v>
      </c>
      <c r="C24" s="161" t="str">
        <f xml:space="preserve"> setValueToTime(B24)</f>
        <v>3h45min</v>
      </c>
      <c r="D24" s="120"/>
      <c r="E24" s="245"/>
      <c r="F24" s="246"/>
      <c r="G24" s="50"/>
    </row>
    <row r="25" spans="1:7" s="58" customFormat="1" ht="15" thickBot="1">
      <c r="A25" s="76"/>
      <c r="B25" s="76"/>
      <c r="C25" s="76"/>
      <c r="D25" s="76"/>
      <c r="E25" s="76"/>
      <c r="F25" s="76"/>
      <c r="G25" s="57"/>
    </row>
    <row r="26" spans="1:7" s="46" customFormat="1" ht="30" customHeight="1" thickBot="1">
      <c r="A26" s="155" t="s">
        <v>11</v>
      </c>
      <c r="B26" s="163">
        <v>29</v>
      </c>
      <c r="C26" s="163"/>
      <c r="D26" s="156" t="s">
        <v>14</v>
      </c>
      <c r="E26" s="157" t="s">
        <v>192</v>
      </c>
      <c r="F26" s="158" t="s">
        <v>75</v>
      </c>
      <c r="G26" s="45"/>
    </row>
    <row r="27" spans="1:7" s="46" customFormat="1" ht="30" customHeight="1" thickBot="1">
      <c r="A27" s="77" t="s">
        <v>4</v>
      </c>
      <c r="B27" s="160" t="s">
        <v>38</v>
      </c>
      <c r="C27" s="159"/>
      <c r="D27" s="77" t="s">
        <v>12</v>
      </c>
      <c r="E27" s="247" t="s">
        <v>13</v>
      </c>
      <c r="F27" s="248"/>
      <c r="G27" s="45"/>
    </row>
    <row r="28" spans="1:7" s="51" customFormat="1" ht="27">
      <c r="A28" s="47" t="s">
        <v>63</v>
      </c>
      <c r="B28" s="48">
        <v>15</v>
      </c>
      <c r="C28" s="151" t="str">
        <f xml:space="preserve"> IF(B28="","",setValueToTime(B28))</f>
        <v>1h15min</v>
      </c>
      <c r="D28" s="165" t="s">
        <v>195</v>
      </c>
      <c r="E28" s="239"/>
      <c r="F28" s="240"/>
      <c r="G28" s="50"/>
    </row>
    <row r="29" spans="1:7" s="51" customFormat="1">
      <c r="A29" s="52" t="s">
        <v>66</v>
      </c>
      <c r="B29" s="53">
        <v>18</v>
      </c>
      <c r="C29" s="152" t="str">
        <f t="shared" ref="C29:C35" si="2" xml:space="preserve"> IF(B29="","",setValueToTime(B29))</f>
        <v>1h30min</v>
      </c>
      <c r="D29" s="166" t="s">
        <v>196</v>
      </c>
      <c r="E29" s="241"/>
      <c r="F29" s="242"/>
      <c r="G29" s="50"/>
    </row>
    <row r="30" spans="1:7" s="51" customFormat="1">
      <c r="A30" s="52" t="s">
        <v>15</v>
      </c>
      <c r="B30" s="53">
        <v>3</v>
      </c>
      <c r="C30" s="152" t="str">
        <f t="shared" si="2"/>
        <v>0h15min</v>
      </c>
      <c r="D30" s="166" t="s">
        <v>106</v>
      </c>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61" t="s">
        <v>27</v>
      </c>
      <c r="B36" s="82">
        <f>SUM(B28:B35)</f>
        <v>36</v>
      </c>
      <c r="C36" s="161" t="str">
        <f xml:space="preserve"> setValueToTime(B36)</f>
        <v>3h</v>
      </c>
      <c r="D36" s="120"/>
      <c r="E36" s="245"/>
      <c r="F36" s="246"/>
      <c r="G36" s="50"/>
    </row>
    <row r="37" spans="1:7" s="58" customFormat="1" ht="15" thickBot="1">
      <c r="A37" s="76"/>
      <c r="B37" s="76"/>
      <c r="C37" s="76"/>
      <c r="D37" s="76"/>
      <c r="E37" s="76"/>
      <c r="F37" s="76"/>
      <c r="G37" s="57"/>
    </row>
    <row r="38" spans="1:7" s="46" customFormat="1" ht="30" customHeight="1" thickBot="1">
      <c r="A38" s="155" t="s">
        <v>11</v>
      </c>
      <c r="B38" s="163">
        <v>28</v>
      </c>
      <c r="C38" s="163"/>
      <c r="D38" s="156" t="s">
        <v>14</v>
      </c>
      <c r="E38" s="157" t="s">
        <v>192</v>
      </c>
      <c r="F38" s="158" t="s">
        <v>74</v>
      </c>
      <c r="G38" s="45"/>
    </row>
    <row r="39" spans="1:7" s="46" customFormat="1" ht="30" customHeight="1" thickBot="1">
      <c r="A39" s="77" t="s">
        <v>4</v>
      </c>
      <c r="B39" s="160" t="s">
        <v>38</v>
      </c>
      <c r="C39" s="159"/>
      <c r="D39" s="77" t="s">
        <v>12</v>
      </c>
      <c r="E39" s="247" t="s">
        <v>13</v>
      </c>
      <c r="F39" s="248"/>
      <c r="G39" s="45"/>
    </row>
    <row r="40" spans="1:7" s="51" customFormat="1" ht="40.5">
      <c r="A40" s="47" t="s">
        <v>117</v>
      </c>
      <c r="B40" s="48">
        <v>24</v>
      </c>
      <c r="C40" s="151" t="str">
        <f xml:space="preserve"> IF(B40="","",setValueToTime(B40))</f>
        <v>2h</v>
      </c>
      <c r="D40" s="165" t="s">
        <v>193</v>
      </c>
      <c r="E40" s="239"/>
      <c r="F40" s="240"/>
      <c r="G40" s="50"/>
    </row>
    <row r="41" spans="1:7" s="51" customFormat="1" ht="40.5">
      <c r="A41" s="52" t="s">
        <v>63</v>
      </c>
      <c r="B41" s="53">
        <v>18</v>
      </c>
      <c r="C41" s="152" t="str">
        <f t="shared" ref="C41:C47" si="3" xml:space="preserve"> IF(B41="","",setValueToTime(B41))</f>
        <v>1h30min</v>
      </c>
      <c r="D41" s="166" t="s">
        <v>194</v>
      </c>
      <c r="E41" s="249"/>
      <c r="F41" s="242"/>
      <c r="G41" s="50"/>
    </row>
    <row r="42" spans="1:7" s="51" customFormat="1">
      <c r="A42" s="52" t="s">
        <v>15</v>
      </c>
      <c r="B42" s="53">
        <v>3</v>
      </c>
      <c r="C42" s="152" t="str">
        <f t="shared" si="3"/>
        <v>0h15min</v>
      </c>
      <c r="D42" s="166" t="s">
        <v>106</v>
      </c>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27.75" thickBot="1">
      <c r="A48" s="161" t="s">
        <v>27</v>
      </c>
      <c r="B48" s="82">
        <f>SUM(B40:B47)</f>
        <v>45</v>
      </c>
      <c r="C48" s="161" t="str">
        <f xml:space="preserve"> setValueToTime(B48)</f>
        <v>3h45min</v>
      </c>
      <c r="D48" s="120"/>
      <c r="E48" s="245"/>
      <c r="F48" s="246"/>
      <c r="G48" s="50"/>
    </row>
    <row r="49" spans="1:7" s="58" customFormat="1" ht="15" thickBot="1">
      <c r="A49" s="76"/>
      <c r="B49" s="76"/>
      <c r="C49" s="76"/>
      <c r="D49" s="76"/>
      <c r="E49" s="76"/>
      <c r="F49" s="76"/>
      <c r="G49" s="57"/>
    </row>
    <row r="50" spans="1:7" s="46" customFormat="1" ht="30" customHeight="1" thickBot="1">
      <c r="A50" s="155" t="s">
        <v>11</v>
      </c>
      <c r="B50" s="163">
        <v>27</v>
      </c>
      <c r="C50" s="163"/>
      <c r="D50" s="156" t="s">
        <v>14</v>
      </c>
      <c r="E50" s="157">
        <v>44256</v>
      </c>
      <c r="F50" s="158" t="s">
        <v>74</v>
      </c>
      <c r="G50" s="45"/>
    </row>
    <row r="51" spans="1:7" s="46" customFormat="1" ht="30" customHeight="1" thickBot="1">
      <c r="A51" s="77" t="s">
        <v>4</v>
      </c>
      <c r="B51" s="160" t="s">
        <v>38</v>
      </c>
      <c r="C51" s="159"/>
      <c r="D51" s="77" t="s">
        <v>12</v>
      </c>
      <c r="E51" s="247" t="s">
        <v>13</v>
      </c>
      <c r="F51" s="248"/>
      <c r="G51" s="45"/>
    </row>
    <row r="52" spans="1:7" s="51" customFormat="1" ht="27">
      <c r="A52" s="47" t="s">
        <v>117</v>
      </c>
      <c r="B52" s="48">
        <v>15</v>
      </c>
      <c r="C52" s="151" t="str">
        <f xml:space="preserve"> IF(B52="","",setValueToTime(B52))</f>
        <v>1h15min</v>
      </c>
      <c r="D52" s="165" t="s">
        <v>190</v>
      </c>
      <c r="E52" s="239"/>
      <c r="F52" s="240"/>
      <c r="G52" s="50"/>
    </row>
    <row r="53" spans="1:7" s="51" customFormat="1" ht="27">
      <c r="A53" s="52" t="s">
        <v>66</v>
      </c>
      <c r="B53" s="53">
        <v>18</v>
      </c>
      <c r="C53" s="152" t="str">
        <f t="shared" ref="C53:C59" si="4" xml:space="preserve"> IF(B53="","",setValueToTime(B53))</f>
        <v>1h30min</v>
      </c>
      <c r="D53" s="166" t="s">
        <v>191</v>
      </c>
      <c r="E53" s="241"/>
      <c r="F53" s="242"/>
      <c r="G53" s="50"/>
    </row>
    <row r="54" spans="1:7" s="51" customFormat="1">
      <c r="A54" s="52" t="s">
        <v>15</v>
      </c>
      <c r="B54" s="53">
        <v>3</v>
      </c>
      <c r="C54" s="152" t="str">
        <f t="shared" si="4"/>
        <v>0h15min</v>
      </c>
      <c r="D54" s="166" t="s">
        <v>106</v>
      </c>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61" t="s">
        <v>27</v>
      </c>
      <c r="B60" s="82">
        <f>SUM(B52:B59)</f>
        <v>36</v>
      </c>
      <c r="C60" s="161" t="str">
        <f xml:space="preserve"> setValueToTime(B60)</f>
        <v>3h</v>
      </c>
      <c r="D60" s="120"/>
      <c r="E60" s="245"/>
      <c r="F60" s="246"/>
      <c r="G60" s="50"/>
    </row>
    <row r="61" spans="1:7" s="58" customFormat="1" ht="15" thickBot="1">
      <c r="A61" s="76"/>
      <c r="B61" s="76"/>
      <c r="C61" s="76"/>
      <c r="D61" s="76"/>
      <c r="E61" s="76"/>
      <c r="F61" s="76"/>
      <c r="G61" s="57"/>
    </row>
    <row r="62" spans="1:7" s="46" customFormat="1" ht="30" customHeight="1" thickBot="1">
      <c r="A62" s="155" t="s">
        <v>11</v>
      </c>
      <c r="B62" s="163">
        <v>26</v>
      </c>
      <c r="C62" s="163"/>
      <c r="D62" s="156" t="s">
        <v>14</v>
      </c>
      <c r="E62" s="157" t="s">
        <v>184</v>
      </c>
      <c r="F62" s="158" t="s">
        <v>75</v>
      </c>
      <c r="G62" s="45"/>
    </row>
    <row r="63" spans="1:7" s="46" customFormat="1" ht="30" customHeight="1" thickBot="1">
      <c r="A63" s="77" t="s">
        <v>4</v>
      </c>
      <c r="B63" s="160" t="s">
        <v>38</v>
      </c>
      <c r="C63" s="159"/>
      <c r="D63" s="77" t="s">
        <v>12</v>
      </c>
      <c r="E63" s="247" t="s">
        <v>13</v>
      </c>
      <c r="F63" s="248"/>
      <c r="G63" s="45"/>
    </row>
    <row r="64" spans="1:7" s="51" customFormat="1" ht="54">
      <c r="A64" s="47" t="s">
        <v>117</v>
      </c>
      <c r="B64" s="48">
        <v>33</v>
      </c>
      <c r="C64" s="151" t="str">
        <f xml:space="preserve"> IF(B64="","",setValueToTime(B64))</f>
        <v>2h45min</v>
      </c>
      <c r="D64" s="165" t="s">
        <v>186</v>
      </c>
      <c r="E64" s="239"/>
      <c r="F64" s="240"/>
      <c r="G64" s="50"/>
    </row>
    <row r="65" spans="1:7" s="51" customFormat="1">
      <c r="A65" s="52" t="s">
        <v>15</v>
      </c>
      <c r="B65" s="53">
        <v>3</v>
      </c>
      <c r="C65" s="152" t="str">
        <f t="shared" ref="C65:C71" si="5" xml:space="preserve"> IF(B65="","",setValueToTime(B65))</f>
        <v>0h15min</v>
      </c>
      <c r="D65" s="166" t="s">
        <v>106</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61" t="s">
        <v>27</v>
      </c>
      <c r="B72" s="82">
        <f>SUM(B64:B71)</f>
        <v>36</v>
      </c>
      <c r="C72" s="161" t="str">
        <f xml:space="preserve"> setValueToTime(B72)</f>
        <v>3h</v>
      </c>
      <c r="D72" s="120"/>
      <c r="E72" s="245"/>
      <c r="F72" s="246"/>
      <c r="G72" s="50"/>
    </row>
    <row r="73" spans="1:7" s="58" customFormat="1" ht="15" thickBot="1">
      <c r="A73" s="76"/>
      <c r="B73" s="76"/>
      <c r="C73" s="76"/>
      <c r="D73" s="76"/>
      <c r="E73" s="76"/>
      <c r="F73" s="76"/>
      <c r="G73" s="57"/>
    </row>
    <row r="74" spans="1:7" s="46" customFormat="1" ht="30" customHeight="1" thickBot="1">
      <c r="A74" s="155" t="s">
        <v>11</v>
      </c>
      <c r="B74" s="163">
        <v>25</v>
      </c>
      <c r="C74" s="163"/>
      <c r="D74" s="156" t="s">
        <v>14</v>
      </c>
      <c r="E74" s="157" t="s">
        <v>184</v>
      </c>
      <c r="F74" s="158" t="s">
        <v>74</v>
      </c>
      <c r="G74" s="45"/>
    </row>
    <row r="75" spans="1:7" s="46" customFormat="1" ht="30" customHeight="1" thickBot="1">
      <c r="A75" s="77" t="s">
        <v>4</v>
      </c>
      <c r="B75" s="160" t="s">
        <v>38</v>
      </c>
      <c r="C75" s="159"/>
      <c r="D75" s="77" t="s">
        <v>12</v>
      </c>
      <c r="E75" s="247" t="s">
        <v>13</v>
      </c>
      <c r="F75" s="248"/>
      <c r="G75" s="45"/>
    </row>
    <row r="76" spans="1:7" s="51" customFormat="1" ht="108">
      <c r="A76" s="47" t="s">
        <v>117</v>
      </c>
      <c r="B76" s="48">
        <v>33</v>
      </c>
      <c r="C76" s="151" t="str">
        <f xml:space="preserve"> IF(B76="","",setValueToTime(B76))</f>
        <v>2h45min</v>
      </c>
      <c r="D76" s="165" t="s">
        <v>185</v>
      </c>
      <c r="E76" s="239"/>
      <c r="F76" s="240"/>
      <c r="G76" s="50"/>
    </row>
    <row r="77" spans="1:7" s="51" customFormat="1">
      <c r="A77" s="52" t="s">
        <v>15</v>
      </c>
      <c r="B77" s="53">
        <v>3</v>
      </c>
      <c r="C77" s="152" t="str">
        <f t="shared" ref="C77:C83" si="6" xml:space="preserve"> IF(B77="","",setValueToTime(B77))</f>
        <v>0h15min</v>
      </c>
      <c r="D77" s="166" t="s">
        <v>106</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61" t="s">
        <v>27</v>
      </c>
      <c r="B84" s="82">
        <f>SUM(B76:B83)</f>
        <v>36</v>
      </c>
      <c r="C84" s="161" t="str">
        <f xml:space="preserve"> setValueToTime(B84)</f>
        <v>3h</v>
      </c>
      <c r="D84" s="120"/>
      <c r="E84" s="245"/>
      <c r="F84" s="246"/>
      <c r="G84" s="50"/>
    </row>
    <row r="85" spans="1:7" s="58" customFormat="1" ht="15" thickBot="1">
      <c r="A85" s="76"/>
      <c r="B85" s="76"/>
      <c r="C85" s="76"/>
      <c r="D85" s="76"/>
      <c r="E85" s="76"/>
      <c r="F85" s="76"/>
      <c r="G85" s="57"/>
    </row>
    <row r="86" spans="1:7" s="46" customFormat="1" ht="30" customHeight="1" thickBot="1">
      <c r="A86" s="155" t="s">
        <v>11</v>
      </c>
      <c r="B86" s="163">
        <v>24</v>
      </c>
      <c r="C86" s="163"/>
      <c r="D86" s="156" t="s">
        <v>14</v>
      </c>
      <c r="E86" s="157" t="s">
        <v>178</v>
      </c>
      <c r="F86" s="158" t="s">
        <v>75</v>
      </c>
      <c r="G86" s="45"/>
    </row>
    <row r="87" spans="1:7" s="46" customFormat="1" ht="30" customHeight="1" thickBot="1">
      <c r="A87" s="77" t="s">
        <v>4</v>
      </c>
      <c r="B87" s="160" t="s">
        <v>38</v>
      </c>
      <c r="C87" s="159"/>
      <c r="D87" s="77" t="s">
        <v>12</v>
      </c>
      <c r="E87" s="247" t="s">
        <v>13</v>
      </c>
      <c r="F87" s="248"/>
      <c r="G87" s="45"/>
    </row>
    <row r="88" spans="1:7" s="51" customFormat="1" ht="27">
      <c r="A88" s="47" t="s">
        <v>117</v>
      </c>
      <c r="B88" s="48">
        <v>16</v>
      </c>
      <c r="C88" s="151" t="str">
        <f xml:space="preserve"> IF(B88="","",setValueToTime(B88))</f>
        <v>1h20min</v>
      </c>
      <c r="D88" s="165" t="s">
        <v>182</v>
      </c>
      <c r="E88" s="239"/>
      <c r="F88" s="240"/>
      <c r="G88" s="50"/>
    </row>
    <row r="89" spans="1:7" s="51" customFormat="1" ht="40.5">
      <c r="A89" s="52" t="s">
        <v>66</v>
      </c>
      <c r="B89" s="53">
        <v>17</v>
      </c>
      <c r="C89" s="152" t="str">
        <f t="shared" ref="C89:C95" si="7" xml:space="preserve"> IF(B89="","",setValueToTime(B89))</f>
        <v>1h25min</v>
      </c>
      <c r="D89" s="166" t="s">
        <v>183</v>
      </c>
      <c r="E89" s="241"/>
      <c r="F89" s="242"/>
      <c r="G89" s="50"/>
    </row>
    <row r="90" spans="1:7" s="51" customFormat="1">
      <c r="A90" s="52" t="s">
        <v>15</v>
      </c>
      <c r="B90" s="53">
        <v>3</v>
      </c>
      <c r="C90" s="152" t="str">
        <f t="shared" si="7"/>
        <v>0h15min</v>
      </c>
      <c r="D90" s="166" t="s">
        <v>151</v>
      </c>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61" t="s">
        <v>27</v>
      </c>
      <c r="B96" s="82">
        <f>SUM(B88:B95)</f>
        <v>36</v>
      </c>
      <c r="C96" s="161" t="str">
        <f xml:space="preserve"> setValueToTime(B96)</f>
        <v>3h</v>
      </c>
      <c r="D96" s="120"/>
      <c r="E96" s="245"/>
      <c r="F96" s="246"/>
      <c r="G96" s="50"/>
    </row>
    <row r="97" spans="1:7" s="58" customFormat="1" ht="15" thickBot="1">
      <c r="A97" s="76"/>
      <c r="B97" s="76"/>
      <c r="C97" s="76"/>
      <c r="D97" s="76"/>
      <c r="E97" s="76"/>
      <c r="F97" s="76"/>
      <c r="G97" s="57"/>
    </row>
    <row r="98" spans="1:7" s="46" customFormat="1" ht="30" customHeight="1" thickBot="1">
      <c r="A98" s="155" t="s">
        <v>11</v>
      </c>
      <c r="B98" s="163">
        <v>23</v>
      </c>
      <c r="C98" s="163"/>
      <c r="D98" s="156" t="s">
        <v>14</v>
      </c>
      <c r="E98" s="157" t="s">
        <v>178</v>
      </c>
      <c r="F98" s="158" t="s">
        <v>74</v>
      </c>
      <c r="G98" s="45"/>
    </row>
    <row r="99" spans="1:7" s="46" customFormat="1" ht="30" customHeight="1" thickBot="1">
      <c r="A99" s="77" t="s">
        <v>4</v>
      </c>
      <c r="B99" s="160" t="s">
        <v>38</v>
      </c>
      <c r="C99" s="159"/>
      <c r="D99" s="77" t="s">
        <v>12</v>
      </c>
      <c r="E99" s="247" t="s">
        <v>13</v>
      </c>
      <c r="F99" s="248"/>
      <c r="G99" s="45"/>
    </row>
    <row r="100" spans="1:7" s="51" customFormat="1" ht="40.5">
      <c r="A100" s="47" t="s">
        <v>117</v>
      </c>
      <c r="B100" s="48">
        <v>42</v>
      </c>
      <c r="C100" s="151" t="str">
        <f xml:space="preserve"> IF(B100="","",setValueToTime(B100))</f>
        <v>3h30min</v>
      </c>
      <c r="D100" s="165" t="s">
        <v>181</v>
      </c>
      <c r="E100" s="239"/>
      <c r="F100" s="240"/>
      <c r="G100" s="50"/>
    </row>
    <row r="101" spans="1:7" s="51" customFormat="1">
      <c r="A101" s="52" t="s">
        <v>15</v>
      </c>
      <c r="B101" s="53">
        <v>3</v>
      </c>
      <c r="C101" s="152" t="str">
        <f t="shared" ref="C101:C107" si="8" xml:space="preserve"> IF(B101="","",setValueToTime(B101))</f>
        <v>0h15min</v>
      </c>
      <c r="D101" s="166" t="s">
        <v>106</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27.75" thickBot="1">
      <c r="A108" s="161" t="s">
        <v>27</v>
      </c>
      <c r="B108" s="82">
        <f>SUM(B100:B107)</f>
        <v>45</v>
      </c>
      <c r="C108" s="161" t="str">
        <f xml:space="preserve"> setValueToTime(B108)</f>
        <v>3h45min</v>
      </c>
      <c r="D108" s="120"/>
      <c r="E108" s="245"/>
      <c r="F108" s="246"/>
      <c r="G108" s="50"/>
    </row>
    <row r="109" spans="1:7" s="58" customFormat="1" ht="15" thickBot="1">
      <c r="A109" s="76"/>
      <c r="B109" s="76"/>
      <c r="C109" s="76"/>
      <c r="D109" s="76"/>
      <c r="E109" s="76"/>
      <c r="F109" s="76"/>
      <c r="G109" s="57"/>
    </row>
    <row r="110" spans="1:7" s="46" customFormat="1" ht="30" customHeight="1" thickBot="1">
      <c r="A110" s="155" t="s">
        <v>11</v>
      </c>
      <c r="B110" s="163">
        <v>22</v>
      </c>
      <c r="C110" s="163"/>
      <c r="D110" s="156" t="s">
        <v>14</v>
      </c>
      <c r="E110" s="157" t="s">
        <v>177</v>
      </c>
      <c r="F110" s="158" t="s">
        <v>75</v>
      </c>
      <c r="G110" s="45"/>
    </row>
    <row r="111" spans="1:7" s="46" customFormat="1" ht="30" customHeight="1" thickBot="1">
      <c r="A111" s="77" t="s">
        <v>4</v>
      </c>
      <c r="B111" s="160" t="s">
        <v>38</v>
      </c>
      <c r="C111" s="159"/>
      <c r="D111" s="77" t="s">
        <v>12</v>
      </c>
      <c r="E111" s="247" t="s">
        <v>13</v>
      </c>
      <c r="F111" s="248"/>
      <c r="G111" s="45"/>
    </row>
    <row r="112" spans="1:7" s="51" customFormat="1">
      <c r="A112" s="47" t="s">
        <v>66</v>
      </c>
      <c r="B112" s="48">
        <v>18</v>
      </c>
      <c r="C112" s="151" t="str">
        <f xml:space="preserve"> IF(B112="","",setValueToTime(B112))</f>
        <v>1h30min</v>
      </c>
      <c r="D112" s="165" t="s">
        <v>179</v>
      </c>
      <c r="E112" s="239"/>
      <c r="F112" s="240"/>
      <c r="G112" s="50"/>
    </row>
    <row r="113" spans="1:7" s="51" customFormat="1" ht="27">
      <c r="A113" s="52" t="s">
        <v>117</v>
      </c>
      <c r="B113" s="53">
        <v>15</v>
      </c>
      <c r="C113" s="152" t="str">
        <f t="shared" ref="C113:C119" si="9" xml:space="preserve"> IF(B113="","",setValueToTime(B113))</f>
        <v>1h15min</v>
      </c>
      <c r="D113" s="166" t="s">
        <v>180</v>
      </c>
      <c r="E113" s="241"/>
      <c r="F113" s="242"/>
      <c r="G113" s="50"/>
    </row>
    <row r="114" spans="1:7" s="51" customFormat="1">
      <c r="A114" s="52" t="s">
        <v>15</v>
      </c>
      <c r="B114" s="53">
        <v>3</v>
      </c>
      <c r="C114" s="152" t="str">
        <f t="shared" si="9"/>
        <v>0h15min</v>
      </c>
      <c r="D114" s="166" t="s">
        <v>151</v>
      </c>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61" t="s">
        <v>27</v>
      </c>
      <c r="B120" s="82">
        <f>SUM(B112:B119)</f>
        <v>36</v>
      </c>
      <c r="C120" s="161" t="str">
        <f xml:space="preserve"> setValueToTime(B120)</f>
        <v>3h</v>
      </c>
      <c r="D120" s="120"/>
      <c r="E120" s="245"/>
      <c r="F120" s="246"/>
      <c r="G120" s="50"/>
    </row>
    <row r="121" spans="1:7" s="58" customFormat="1" ht="15" thickBot="1">
      <c r="A121" s="76"/>
      <c r="B121" s="76"/>
      <c r="C121" s="76"/>
      <c r="D121" s="76"/>
      <c r="E121" s="76"/>
      <c r="F121" s="76"/>
      <c r="G121" s="57"/>
    </row>
    <row r="122" spans="1:7" s="46" customFormat="1" ht="30" customHeight="1" thickBot="1">
      <c r="A122" s="155" t="s">
        <v>11</v>
      </c>
      <c r="B122" s="163">
        <v>21</v>
      </c>
      <c r="C122" s="163"/>
      <c r="D122" s="156" t="s">
        <v>14</v>
      </c>
      <c r="E122" s="157">
        <v>44244</v>
      </c>
      <c r="F122" s="158" t="s">
        <v>74</v>
      </c>
      <c r="G122" s="45"/>
    </row>
    <row r="123" spans="1:7" s="46" customFormat="1" ht="30" customHeight="1" thickBot="1">
      <c r="A123" s="77" t="s">
        <v>4</v>
      </c>
      <c r="B123" s="160" t="s">
        <v>38</v>
      </c>
      <c r="C123" s="159"/>
      <c r="D123" s="77" t="s">
        <v>12</v>
      </c>
      <c r="E123" s="247" t="s">
        <v>13</v>
      </c>
      <c r="F123" s="248"/>
      <c r="G123" s="45"/>
    </row>
    <row r="124" spans="1:7" s="51" customFormat="1" ht="67.5">
      <c r="A124" s="47" t="s">
        <v>165</v>
      </c>
      <c r="B124" s="48">
        <v>42</v>
      </c>
      <c r="C124" s="151" t="str">
        <f xml:space="preserve"> IF(B124="","",setValueToTime(B124))</f>
        <v>3h30min</v>
      </c>
      <c r="D124" s="165" t="s">
        <v>172</v>
      </c>
      <c r="E124" s="239"/>
      <c r="F124" s="240"/>
      <c r="G124" s="50"/>
    </row>
    <row r="125" spans="1:7" s="51" customFormat="1">
      <c r="A125" s="52" t="s">
        <v>15</v>
      </c>
      <c r="B125" s="53">
        <v>3</v>
      </c>
      <c r="C125" s="152" t="str">
        <f t="shared" ref="C125:C131" si="10" xml:space="preserve"> IF(B125="","",setValueToTime(B125))</f>
        <v>0h15min</v>
      </c>
      <c r="D125" s="166" t="s">
        <v>106</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27.75" thickBot="1">
      <c r="A132" s="161" t="s">
        <v>27</v>
      </c>
      <c r="B132" s="82">
        <f>SUM(B124:B131)</f>
        <v>45</v>
      </c>
      <c r="C132" s="161" t="str">
        <f xml:space="preserve"> setValueToTime(B132)</f>
        <v>3h45min</v>
      </c>
      <c r="D132" s="120"/>
      <c r="E132" s="245"/>
      <c r="F132" s="246"/>
      <c r="G132" s="50"/>
    </row>
    <row r="133" spans="1:7" s="58" customFormat="1" ht="15" thickBot="1">
      <c r="A133" s="76"/>
      <c r="B133" s="76"/>
      <c r="C133" s="76"/>
      <c r="D133" s="76"/>
      <c r="E133" s="76"/>
      <c r="F133" s="76"/>
      <c r="G133" s="57"/>
    </row>
    <row r="134" spans="1:7" s="46" customFormat="1" ht="30" customHeight="1" thickBot="1">
      <c r="A134" s="155" t="s">
        <v>11</v>
      </c>
      <c r="B134" s="163">
        <v>20</v>
      </c>
      <c r="C134" s="163"/>
      <c r="D134" s="156" t="s">
        <v>14</v>
      </c>
      <c r="E134" s="157" t="s">
        <v>153</v>
      </c>
      <c r="F134" s="158" t="s">
        <v>75</v>
      </c>
      <c r="G134" s="45"/>
    </row>
    <row r="135" spans="1:7" s="46" customFormat="1" ht="30" customHeight="1" thickBot="1">
      <c r="A135" s="77" t="s">
        <v>4</v>
      </c>
      <c r="B135" s="160" t="s">
        <v>38</v>
      </c>
      <c r="C135" s="159"/>
      <c r="D135" s="77" t="s">
        <v>12</v>
      </c>
      <c r="E135" s="247" t="s">
        <v>13</v>
      </c>
      <c r="F135" s="248"/>
      <c r="G135" s="45"/>
    </row>
    <row r="136" spans="1:7" s="51" customFormat="1" ht="27">
      <c r="A136" s="47" t="s">
        <v>165</v>
      </c>
      <c r="B136" s="48">
        <v>33</v>
      </c>
      <c r="C136" s="151" t="str">
        <f xml:space="preserve"> IF(B136="","",setValueToTime(B136))</f>
        <v>2h45min</v>
      </c>
      <c r="D136" s="165" t="s">
        <v>168</v>
      </c>
      <c r="E136" s="239"/>
      <c r="F136" s="240"/>
      <c r="G136" s="50"/>
    </row>
    <row r="137" spans="1:7" s="51" customFormat="1">
      <c r="A137" s="52" t="s">
        <v>15</v>
      </c>
      <c r="B137" s="53">
        <v>3</v>
      </c>
      <c r="C137" s="152" t="str">
        <f t="shared" ref="C137:C143" si="11" xml:space="preserve"> IF(B137="","",setValueToTime(B137))</f>
        <v>0h15min</v>
      </c>
      <c r="D137" s="166" t="s">
        <v>106</v>
      </c>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61" t="s">
        <v>27</v>
      </c>
      <c r="B144" s="82">
        <f>SUM(B136:B143)</f>
        <v>36</v>
      </c>
      <c r="C144" s="161" t="str">
        <f xml:space="preserve"> setValueToTime(B144)</f>
        <v>3h</v>
      </c>
      <c r="D144" s="120"/>
      <c r="E144" s="245"/>
      <c r="F144" s="246"/>
      <c r="G144" s="50"/>
    </row>
    <row r="145" spans="1:7" s="58" customFormat="1" ht="15" thickBot="1">
      <c r="A145" s="76"/>
      <c r="B145" s="76"/>
      <c r="C145" s="76"/>
      <c r="D145" s="76"/>
      <c r="E145" s="76"/>
      <c r="F145" s="76"/>
      <c r="G145" s="57"/>
    </row>
    <row r="146" spans="1:7" s="46" customFormat="1" ht="30" customHeight="1" thickBot="1">
      <c r="A146" s="155" t="s">
        <v>11</v>
      </c>
      <c r="B146" s="163">
        <v>19</v>
      </c>
      <c r="C146" s="163"/>
      <c r="D146" s="156" t="s">
        <v>14</v>
      </c>
      <c r="E146" s="157" t="s">
        <v>153</v>
      </c>
      <c r="F146" s="158" t="s">
        <v>74</v>
      </c>
      <c r="G146" s="45"/>
    </row>
    <row r="147" spans="1:7" s="46" customFormat="1" ht="30" customHeight="1" thickBot="1">
      <c r="A147" s="77" t="s">
        <v>4</v>
      </c>
      <c r="B147" s="160" t="s">
        <v>38</v>
      </c>
      <c r="C147" s="159"/>
      <c r="D147" s="77" t="s">
        <v>12</v>
      </c>
      <c r="E147" s="247" t="s">
        <v>13</v>
      </c>
      <c r="F147" s="248"/>
      <c r="G147" s="45"/>
    </row>
    <row r="148" spans="1:7" s="51" customFormat="1">
      <c r="A148" s="47" t="s">
        <v>50</v>
      </c>
      <c r="B148" s="48">
        <v>32</v>
      </c>
      <c r="C148" s="151" t="str">
        <f xml:space="preserve"> IF(B148="","",setValueToTime(B148))</f>
        <v>2h40min</v>
      </c>
      <c r="D148" s="165" t="s">
        <v>167</v>
      </c>
      <c r="E148" s="239"/>
      <c r="F148" s="240"/>
      <c r="G148" s="50"/>
    </row>
    <row r="149" spans="1:7" s="51" customFormat="1">
      <c r="A149" s="52" t="s">
        <v>15</v>
      </c>
      <c r="B149" s="53">
        <v>2</v>
      </c>
      <c r="C149" s="152" t="str">
        <f t="shared" ref="C149:C155" si="12" xml:space="preserve"> IF(B149="","",setValueToTime(B149))</f>
        <v>0h10min</v>
      </c>
      <c r="D149" s="166" t="s">
        <v>106</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27.75" thickBot="1">
      <c r="A156" s="161" t="s">
        <v>27</v>
      </c>
      <c r="B156" s="82">
        <f>SUM(B148:B155)</f>
        <v>34</v>
      </c>
      <c r="C156" s="161" t="str">
        <f xml:space="preserve"> setValueToTime(B156)</f>
        <v>2h50min</v>
      </c>
      <c r="D156" s="120"/>
      <c r="E156" s="245"/>
      <c r="F156" s="246"/>
      <c r="G156" s="50"/>
    </row>
    <row r="157" spans="1:7" s="58" customFormat="1" ht="15" thickBot="1">
      <c r="A157" s="76"/>
      <c r="B157" s="76"/>
      <c r="C157" s="76"/>
      <c r="D157" s="76"/>
      <c r="E157" s="76"/>
      <c r="F157" s="76"/>
      <c r="G157" s="57"/>
    </row>
    <row r="158" spans="1:7" s="46" customFormat="1" ht="30" customHeight="1" thickBot="1">
      <c r="A158" s="155" t="s">
        <v>11</v>
      </c>
      <c r="B158" s="163">
        <v>18</v>
      </c>
      <c r="C158" s="163"/>
      <c r="D158" s="156" t="s">
        <v>14</v>
      </c>
      <c r="E158" s="157" t="s">
        <v>156</v>
      </c>
      <c r="F158" s="158" t="s">
        <v>75</v>
      </c>
      <c r="G158" s="45"/>
    </row>
    <row r="159" spans="1:7" s="46" customFormat="1" ht="30" customHeight="1" thickBot="1">
      <c r="A159" s="77" t="s">
        <v>4</v>
      </c>
      <c r="B159" s="160" t="s">
        <v>38</v>
      </c>
      <c r="C159" s="159"/>
      <c r="D159" s="77" t="s">
        <v>12</v>
      </c>
      <c r="E159" s="247" t="s">
        <v>13</v>
      </c>
      <c r="F159" s="248"/>
      <c r="G159" s="45"/>
    </row>
    <row r="160" spans="1:7" s="51" customFormat="1">
      <c r="A160" s="47" t="s">
        <v>50</v>
      </c>
      <c r="B160" s="48">
        <v>33</v>
      </c>
      <c r="C160" s="151" t="str">
        <f xml:space="preserve"> IF(B160="","",setValueToTime(B160))</f>
        <v>2h45min</v>
      </c>
      <c r="D160" s="165" t="s">
        <v>163</v>
      </c>
      <c r="E160" s="239"/>
      <c r="F160" s="240"/>
      <c r="G160" s="50"/>
    </row>
    <row r="161" spans="1:7" s="51" customFormat="1">
      <c r="A161" s="52" t="s">
        <v>15</v>
      </c>
      <c r="B161" s="53">
        <v>3</v>
      </c>
      <c r="C161" s="152" t="str">
        <f t="shared" ref="C161:C167" si="13" xml:space="preserve"> IF(B161="","",setValueToTime(B161))</f>
        <v>0h15min</v>
      </c>
      <c r="D161" s="166" t="s">
        <v>106</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61" t="s">
        <v>27</v>
      </c>
      <c r="B168" s="82">
        <f>SUM(B160:B167)</f>
        <v>36</v>
      </c>
      <c r="C168" s="161" t="str">
        <f xml:space="preserve"> setValueToTime(B168)</f>
        <v>3h</v>
      </c>
      <c r="D168" s="120"/>
      <c r="E168" s="245"/>
      <c r="F168" s="246"/>
      <c r="G168" s="50"/>
    </row>
    <row r="169" spans="1:7" s="58" customFormat="1" ht="15" thickBot="1">
      <c r="A169" s="76"/>
      <c r="B169" s="76"/>
      <c r="C169" s="76"/>
      <c r="D169" s="76"/>
      <c r="E169" s="76"/>
      <c r="F169" s="76"/>
      <c r="G169" s="57"/>
    </row>
    <row r="170" spans="1:7" s="46" customFormat="1" ht="30" customHeight="1" thickBot="1">
      <c r="A170" s="155" t="s">
        <v>11</v>
      </c>
      <c r="B170" s="163">
        <v>17</v>
      </c>
      <c r="C170" s="163"/>
      <c r="D170" s="156" t="s">
        <v>14</v>
      </c>
      <c r="E170" s="157" t="s">
        <v>156</v>
      </c>
      <c r="F170" s="158" t="s">
        <v>74</v>
      </c>
      <c r="G170" s="45"/>
    </row>
    <row r="171" spans="1:7" s="46" customFormat="1" ht="30" customHeight="1" thickBot="1">
      <c r="A171" s="77" t="s">
        <v>4</v>
      </c>
      <c r="B171" s="160" t="s">
        <v>38</v>
      </c>
      <c r="C171" s="159"/>
      <c r="D171" s="77" t="s">
        <v>12</v>
      </c>
      <c r="E171" s="247" t="s">
        <v>13</v>
      </c>
      <c r="F171" s="248"/>
      <c r="G171" s="45"/>
    </row>
    <row r="172" spans="1:7" s="51" customFormat="1" ht="40.5">
      <c r="A172" s="47" t="s">
        <v>50</v>
      </c>
      <c r="B172" s="48">
        <v>43</v>
      </c>
      <c r="C172" s="151" t="str">
        <f xml:space="preserve"> IF(B172="","",setValueToTime(B172))</f>
        <v>3h35min</v>
      </c>
      <c r="D172" s="165" t="s">
        <v>162</v>
      </c>
      <c r="E172" s="239"/>
      <c r="F172" s="240"/>
      <c r="G172" s="50"/>
    </row>
    <row r="173" spans="1:7" s="51" customFormat="1">
      <c r="A173" s="52" t="s">
        <v>15</v>
      </c>
      <c r="B173" s="53">
        <v>2</v>
      </c>
      <c r="C173" s="152" t="str">
        <f t="shared" ref="C173:C179" si="14" xml:space="preserve"> IF(B173="","",setValueToTime(B173))</f>
        <v>0h10min</v>
      </c>
      <c r="D173" s="166" t="s">
        <v>106</v>
      </c>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27.75" thickBot="1">
      <c r="A180" s="161" t="s">
        <v>27</v>
      </c>
      <c r="B180" s="82">
        <f>SUM(B172:B179)</f>
        <v>45</v>
      </c>
      <c r="C180" s="161" t="str">
        <f xml:space="preserve"> setValueToTime(B180)</f>
        <v>3h45min</v>
      </c>
      <c r="D180" s="120"/>
      <c r="E180" s="245"/>
      <c r="F180" s="246"/>
      <c r="G180" s="50"/>
    </row>
    <row r="181" spans="1:7" s="58" customFormat="1" ht="15" thickBot="1">
      <c r="A181" s="76"/>
      <c r="B181" s="76"/>
      <c r="C181" s="76"/>
      <c r="D181" s="76"/>
      <c r="E181" s="76"/>
      <c r="F181" s="76"/>
      <c r="G181" s="57"/>
    </row>
    <row r="182" spans="1:7" s="46" customFormat="1" ht="30" customHeight="1" thickBot="1">
      <c r="A182" s="155" t="s">
        <v>11</v>
      </c>
      <c r="B182" s="163">
        <v>16</v>
      </c>
      <c r="C182" s="163"/>
      <c r="D182" s="156" t="s">
        <v>14</v>
      </c>
      <c r="E182" s="157" t="s">
        <v>146</v>
      </c>
      <c r="F182" s="158" t="s">
        <v>75</v>
      </c>
      <c r="G182" s="45"/>
    </row>
    <row r="183" spans="1:7" s="46" customFormat="1" ht="30" customHeight="1" thickBot="1">
      <c r="A183" s="77" t="s">
        <v>4</v>
      </c>
      <c r="B183" s="160" t="s">
        <v>38</v>
      </c>
      <c r="C183" s="159"/>
      <c r="D183" s="77" t="s">
        <v>12</v>
      </c>
      <c r="E183" s="247" t="s">
        <v>13</v>
      </c>
      <c r="F183" s="248"/>
      <c r="G183" s="45"/>
    </row>
    <row r="184" spans="1:7" s="51" customFormat="1">
      <c r="A184" s="47" t="s">
        <v>50</v>
      </c>
      <c r="B184" s="48">
        <v>33</v>
      </c>
      <c r="C184" s="151" t="str">
        <f xml:space="preserve"> IF(B184="","",setValueToTime(B184))</f>
        <v>2h45min</v>
      </c>
      <c r="D184" s="165" t="s">
        <v>150</v>
      </c>
      <c r="E184" s="239"/>
      <c r="F184" s="240"/>
      <c r="G184" s="50"/>
    </row>
    <row r="185" spans="1:7" s="51" customFormat="1">
      <c r="A185" s="52" t="s">
        <v>15</v>
      </c>
      <c r="B185" s="53">
        <v>3</v>
      </c>
      <c r="C185" s="152" t="str">
        <f t="shared" ref="C185:C191" si="15" xml:space="preserve"> IF(B185="","",setValueToTime(B185))</f>
        <v>0h15min</v>
      </c>
      <c r="D185" s="166" t="s">
        <v>151</v>
      </c>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61" t="s">
        <v>27</v>
      </c>
      <c r="B192" s="82">
        <f>SUM(B184:B191)</f>
        <v>36</v>
      </c>
      <c r="C192" s="161" t="str">
        <f xml:space="preserve"> setValueToTime(B192)</f>
        <v>3h</v>
      </c>
      <c r="D192" s="120"/>
      <c r="E192" s="245"/>
      <c r="F192" s="246"/>
      <c r="G192" s="50"/>
    </row>
    <row r="193" spans="1:7" s="58" customFormat="1" ht="15" thickBot="1">
      <c r="A193" s="76"/>
      <c r="B193" s="76"/>
      <c r="C193" s="76"/>
      <c r="D193" s="76"/>
      <c r="E193" s="76"/>
      <c r="F193" s="76"/>
      <c r="G193" s="57"/>
    </row>
    <row r="194" spans="1:7" s="46" customFormat="1" ht="30" customHeight="1" thickBot="1">
      <c r="A194" s="155" t="s">
        <v>11</v>
      </c>
      <c r="B194" s="163">
        <v>15</v>
      </c>
      <c r="C194" s="163"/>
      <c r="D194" s="156" t="s">
        <v>14</v>
      </c>
      <c r="E194" s="157" t="s">
        <v>146</v>
      </c>
      <c r="F194" s="158" t="s">
        <v>74</v>
      </c>
      <c r="G194" s="45"/>
    </row>
    <row r="195" spans="1:7" s="46" customFormat="1" ht="30" customHeight="1" thickBot="1">
      <c r="A195" s="77" t="s">
        <v>4</v>
      </c>
      <c r="B195" s="160" t="s">
        <v>38</v>
      </c>
      <c r="C195" s="159"/>
      <c r="D195" s="77" t="s">
        <v>12</v>
      </c>
      <c r="E195" s="247" t="s">
        <v>13</v>
      </c>
      <c r="F195" s="248"/>
      <c r="G195" s="45"/>
    </row>
    <row r="196" spans="1:7" s="51" customFormat="1">
      <c r="A196" s="47" t="s">
        <v>51</v>
      </c>
      <c r="B196" s="48">
        <v>6</v>
      </c>
      <c r="C196" s="151" t="str">
        <f xml:space="preserve"> IF(B196="","",setValueToTime(B196))</f>
        <v>0h30min</v>
      </c>
      <c r="D196" s="165" t="s">
        <v>147</v>
      </c>
      <c r="E196" s="239"/>
      <c r="F196" s="240"/>
      <c r="G196" s="50"/>
    </row>
    <row r="197" spans="1:7" s="51" customFormat="1">
      <c r="A197" s="52" t="s">
        <v>56</v>
      </c>
      <c r="B197" s="53">
        <v>6</v>
      </c>
      <c r="C197" s="152" t="str">
        <f t="shared" ref="C197:C203" si="16" xml:space="preserve"> IF(B197="","",setValueToTime(B197))</f>
        <v>0h30min</v>
      </c>
      <c r="D197" s="166" t="s">
        <v>148</v>
      </c>
      <c r="E197" s="241"/>
      <c r="F197" s="242"/>
      <c r="G197" s="50"/>
    </row>
    <row r="198" spans="1:7" s="51" customFormat="1">
      <c r="A198" s="52" t="s">
        <v>66</v>
      </c>
      <c r="B198" s="53">
        <v>24</v>
      </c>
      <c r="C198" s="152" t="str">
        <f t="shared" si="16"/>
        <v>2h</v>
      </c>
      <c r="D198" s="166" t="s">
        <v>149</v>
      </c>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61" t="s">
        <v>27</v>
      </c>
      <c r="B204" s="82">
        <f>SUM(B196:B203)</f>
        <v>36</v>
      </c>
      <c r="C204" s="161" t="str">
        <f xml:space="preserve"> setValueToTime(B204)</f>
        <v>3h</v>
      </c>
      <c r="D204" s="120"/>
      <c r="E204" s="245"/>
      <c r="F204" s="246"/>
      <c r="G204" s="50"/>
    </row>
    <row r="205" spans="1:7" s="58" customFormat="1" ht="15" thickBot="1">
      <c r="A205" s="76"/>
      <c r="B205" s="76"/>
      <c r="C205" s="76"/>
      <c r="D205" s="76"/>
      <c r="E205" s="76"/>
      <c r="F205" s="76"/>
      <c r="G205" s="57"/>
    </row>
    <row r="206" spans="1:7" s="46" customFormat="1" ht="30" customHeight="1" thickBot="1">
      <c r="A206" s="155" t="s">
        <v>11</v>
      </c>
      <c r="B206" s="163">
        <v>14</v>
      </c>
      <c r="C206" s="163"/>
      <c r="D206" s="156" t="s">
        <v>14</v>
      </c>
      <c r="E206" s="157">
        <v>44235</v>
      </c>
      <c r="F206" s="158" t="s">
        <v>86</v>
      </c>
      <c r="G206" s="45"/>
    </row>
    <row r="207" spans="1:7" s="46" customFormat="1" ht="30" customHeight="1" thickBot="1">
      <c r="A207" s="77" t="s">
        <v>4</v>
      </c>
      <c r="B207" s="160" t="s">
        <v>38</v>
      </c>
      <c r="C207" s="159"/>
      <c r="D207" s="77" t="s">
        <v>12</v>
      </c>
      <c r="E207" s="247" t="s">
        <v>13</v>
      </c>
      <c r="F207" s="248"/>
      <c r="G207" s="45"/>
    </row>
    <row r="208" spans="1:7" s="51" customFormat="1">
      <c r="A208" s="47" t="s">
        <v>51</v>
      </c>
      <c r="B208" s="48">
        <v>36</v>
      </c>
      <c r="C208" s="151" t="str">
        <f xml:space="preserve"> IF(B208="","",setValueToTime(B208))</f>
        <v>3h</v>
      </c>
      <c r="D208" s="165" t="s">
        <v>141</v>
      </c>
      <c r="E208" s="239"/>
      <c r="F208" s="240"/>
      <c r="G208" s="50"/>
    </row>
    <row r="209" spans="1:7" s="51" customFormat="1">
      <c r="A209" s="52"/>
      <c r="B209" s="53"/>
      <c r="C209" s="152" t="str">
        <f t="shared" ref="C209:C215" si="17" xml:space="preserve"> IF(B209="","",setValueToTime(B209))</f>
        <v/>
      </c>
      <c r="D209" s="54"/>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61" t="s">
        <v>27</v>
      </c>
      <c r="B216" s="82">
        <f>SUM(B208:B215)</f>
        <v>36</v>
      </c>
      <c r="C216" s="161" t="str">
        <f xml:space="preserve"> setValueToTime(B216)</f>
        <v>3h</v>
      </c>
      <c r="D216" s="120"/>
      <c r="E216" s="245"/>
      <c r="F216" s="246"/>
      <c r="G216" s="50"/>
    </row>
    <row r="217" spans="1:7" s="58" customFormat="1" ht="15" thickBot="1">
      <c r="A217" s="76"/>
      <c r="B217" s="76"/>
      <c r="C217" s="76"/>
      <c r="D217" s="76"/>
      <c r="E217" s="76"/>
      <c r="F217" s="76"/>
      <c r="G217" s="57"/>
    </row>
    <row r="218" spans="1:7" s="46" customFormat="1" ht="30" customHeight="1" thickBot="1">
      <c r="A218" s="155" t="s">
        <v>11</v>
      </c>
      <c r="B218" s="163">
        <v>13</v>
      </c>
      <c r="C218" s="163"/>
      <c r="D218" s="156" t="s">
        <v>14</v>
      </c>
      <c r="E218" s="157" t="s">
        <v>138</v>
      </c>
      <c r="F218" s="158" t="s">
        <v>75</v>
      </c>
      <c r="G218" s="45"/>
    </row>
    <row r="219" spans="1:7" s="46" customFormat="1" ht="30" customHeight="1" thickBot="1">
      <c r="A219" s="77" t="s">
        <v>4</v>
      </c>
      <c r="B219" s="160" t="s">
        <v>38</v>
      </c>
      <c r="C219" s="159"/>
      <c r="D219" s="77" t="s">
        <v>12</v>
      </c>
      <c r="E219" s="247" t="s">
        <v>13</v>
      </c>
      <c r="F219" s="248"/>
      <c r="G219" s="45"/>
    </row>
    <row r="220" spans="1:7" s="51" customFormat="1" ht="27">
      <c r="A220" s="197" t="s">
        <v>66</v>
      </c>
      <c r="B220" s="48">
        <v>33</v>
      </c>
      <c r="C220" s="151" t="str">
        <f xml:space="preserve"> IF(B220="","",setValueToTime(B220))</f>
        <v>2h45min</v>
      </c>
      <c r="D220" s="165" t="s">
        <v>140</v>
      </c>
      <c r="E220" s="239"/>
      <c r="F220" s="240"/>
      <c r="G220" s="50"/>
    </row>
    <row r="221" spans="1:7" s="51" customFormat="1">
      <c r="A221" s="52" t="s">
        <v>15</v>
      </c>
      <c r="B221" s="53">
        <v>3</v>
      </c>
      <c r="C221" s="152" t="str">
        <f t="shared" ref="C221:C227" si="18" xml:space="preserve"> IF(B221="","",setValueToTime(B221))</f>
        <v>0h15min</v>
      </c>
      <c r="D221" s="166" t="s">
        <v>106</v>
      </c>
      <c r="E221" s="241"/>
      <c r="F221" s="242"/>
      <c r="G221" s="50"/>
    </row>
    <row r="222" spans="1:7" s="51" customFormat="1">
      <c r="A222" s="52"/>
      <c r="B222" s="53"/>
      <c r="C222" s="152" t="str">
        <f t="shared" si="18"/>
        <v/>
      </c>
      <c r="D222" s="54"/>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61" t="s">
        <v>27</v>
      </c>
      <c r="B228" s="82">
        <f>SUM(B220:B227)</f>
        <v>36</v>
      </c>
      <c r="C228" s="161" t="str">
        <f xml:space="preserve"> setValueToTime(B228)</f>
        <v>3h</v>
      </c>
      <c r="D228" s="120"/>
      <c r="E228" s="245"/>
      <c r="F228" s="246"/>
      <c r="G228" s="50"/>
    </row>
    <row r="229" spans="1:7" s="58" customFormat="1" ht="15" thickBot="1">
      <c r="A229" s="76"/>
      <c r="B229" s="76"/>
      <c r="C229" s="76"/>
      <c r="D229" s="76"/>
      <c r="E229" s="76"/>
      <c r="F229" s="76"/>
      <c r="G229" s="57"/>
    </row>
    <row r="230" spans="1:7" s="46" customFormat="1" ht="30" customHeight="1" thickBot="1">
      <c r="A230" s="155" t="s">
        <v>11</v>
      </c>
      <c r="B230" s="163">
        <v>12</v>
      </c>
      <c r="C230" s="163"/>
      <c r="D230" s="156" t="s">
        <v>14</v>
      </c>
      <c r="E230" s="157" t="s">
        <v>138</v>
      </c>
      <c r="F230" s="158" t="s">
        <v>74</v>
      </c>
      <c r="G230" s="45"/>
    </row>
    <row r="231" spans="1:7" s="46" customFormat="1" ht="30" customHeight="1" thickBot="1">
      <c r="A231" s="77" t="s">
        <v>4</v>
      </c>
      <c r="B231" s="160" t="s">
        <v>38</v>
      </c>
      <c r="C231" s="159"/>
      <c r="D231" s="77" t="s">
        <v>12</v>
      </c>
      <c r="E231" s="247" t="s">
        <v>13</v>
      </c>
      <c r="F231" s="248"/>
      <c r="G231" s="45"/>
    </row>
    <row r="232" spans="1:7" s="51" customFormat="1" ht="81">
      <c r="A232" s="47" t="s">
        <v>60</v>
      </c>
      <c r="B232" s="48">
        <v>33</v>
      </c>
      <c r="C232" s="151" t="str">
        <f xml:space="preserve"> IF(B232="","",setValueToTime(B232))</f>
        <v>2h45min</v>
      </c>
      <c r="D232" s="165" t="s">
        <v>139</v>
      </c>
      <c r="E232" s="239"/>
      <c r="F232" s="240"/>
      <c r="G232" s="50"/>
    </row>
    <row r="233" spans="1:7" s="51" customFormat="1">
      <c r="A233" s="52" t="s">
        <v>15</v>
      </c>
      <c r="B233" s="53">
        <v>3</v>
      </c>
      <c r="C233" s="152" t="str">
        <f t="shared" ref="C233:C239" si="19" xml:space="preserve"> IF(B233="","",setValueToTime(B233))</f>
        <v>0h15min</v>
      </c>
      <c r="D233" s="166" t="s">
        <v>106</v>
      </c>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61" t="s">
        <v>27</v>
      </c>
      <c r="B240" s="82">
        <f>SUM(B232:B239)</f>
        <v>36</v>
      </c>
      <c r="C240" s="161" t="str">
        <f xml:space="preserve"> setValueToTime(B240)</f>
        <v>3h</v>
      </c>
      <c r="D240" s="120"/>
      <c r="E240" s="245"/>
      <c r="F240" s="246"/>
      <c r="G240" s="50"/>
    </row>
    <row r="241" spans="1:7" s="58" customFormat="1" ht="15" thickBot="1">
      <c r="A241" s="76"/>
      <c r="B241" s="76"/>
      <c r="C241" s="76"/>
      <c r="D241" s="76"/>
      <c r="E241" s="76"/>
      <c r="F241" s="76"/>
      <c r="G241" s="57"/>
    </row>
    <row r="242" spans="1:7" s="46" customFormat="1" ht="30" customHeight="1" thickBot="1">
      <c r="A242" s="155" t="s">
        <v>11</v>
      </c>
      <c r="B242" s="163">
        <v>11</v>
      </c>
      <c r="C242" s="163"/>
      <c r="D242" s="156" t="s">
        <v>14</v>
      </c>
      <c r="E242" s="157" t="s">
        <v>135</v>
      </c>
      <c r="F242" s="158" t="s">
        <v>75</v>
      </c>
      <c r="G242" s="45"/>
    </row>
    <row r="243" spans="1:7" s="46" customFormat="1" ht="30" customHeight="1" thickBot="1">
      <c r="A243" s="77" t="s">
        <v>4</v>
      </c>
      <c r="B243" s="160" t="s">
        <v>38</v>
      </c>
      <c r="C243" s="159"/>
      <c r="D243" s="77" t="s">
        <v>12</v>
      </c>
      <c r="E243" s="247" t="s">
        <v>13</v>
      </c>
      <c r="F243" s="248"/>
      <c r="G243" s="45"/>
    </row>
    <row r="244" spans="1:7" s="51" customFormat="1" ht="54">
      <c r="A244" s="47" t="s">
        <v>60</v>
      </c>
      <c r="B244" s="48">
        <v>33</v>
      </c>
      <c r="C244" s="151" t="str">
        <f xml:space="preserve"> IF(B244="","",setValueToTime(B244))</f>
        <v>2h45min</v>
      </c>
      <c r="D244" s="165" t="s">
        <v>137</v>
      </c>
      <c r="E244" s="239"/>
      <c r="F244" s="240"/>
      <c r="G244" s="50"/>
    </row>
    <row r="245" spans="1:7" s="51" customFormat="1">
      <c r="A245" s="52" t="s">
        <v>15</v>
      </c>
      <c r="B245" s="53">
        <v>3</v>
      </c>
      <c r="C245" s="152" t="str">
        <f t="shared" ref="C245:C251" si="20" xml:space="preserve"> IF(B245="","",setValueToTime(B245))</f>
        <v>0h15min</v>
      </c>
      <c r="D245" s="166" t="s">
        <v>106</v>
      </c>
      <c r="E245" s="241"/>
      <c r="F245" s="242"/>
      <c r="G245" s="50"/>
    </row>
    <row r="246" spans="1:7" s="51" customFormat="1">
      <c r="A246" s="52"/>
      <c r="B246" s="53"/>
      <c r="C246" s="152" t="str">
        <f t="shared" si="20"/>
        <v/>
      </c>
      <c r="D246" s="54"/>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61" t="s">
        <v>27</v>
      </c>
      <c r="B252" s="82">
        <f>SUM(B244:B251)</f>
        <v>36</v>
      </c>
      <c r="C252" s="161" t="str">
        <f xml:space="preserve"> setValueToTime(B252)</f>
        <v>3h</v>
      </c>
      <c r="D252" s="120"/>
      <c r="E252" s="245"/>
      <c r="F252" s="246"/>
      <c r="G252" s="50"/>
    </row>
    <row r="253" spans="1:7" s="58" customFormat="1" ht="15" thickBot="1">
      <c r="A253" s="76"/>
      <c r="B253" s="76"/>
      <c r="C253" s="76"/>
      <c r="D253" s="76"/>
      <c r="E253" s="76"/>
      <c r="F253" s="76"/>
      <c r="G253" s="57"/>
    </row>
    <row r="254" spans="1:7" s="46" customFormat="1" ht="30" customHeight="1" thickBot="1">
      <c r="A254" s="155" t="s">
        <v>11</v>
      </c>
      <c r="B254" s="163">
        <v>10</v>
      </c>
      <c r="C254" s="163"/>
      <c r="D254" s="156" t="s">
        <v>14</v>
      </c>
      <c r="E254" s="157" t="s">
        <v>135</v>
      </c>
      <c r="F254" s="158" t="s">
        <v>74</v>
      </c>
      <c r="G254" s="45"/>
    </row>
    <row r="255" spans="1:7" s="46" customFormat="1" ht="30" customHeight="1" thickBot="1">
      <c r="A255" s="77" t="s">
        <v>4</v>
      </c>
      <c r="B255" s="160" t="s">
        <v>38</v>
      </c>
      <c r="C255" s="159"/>
      <c r="D255" s="77" t="s">
        <v>12</v>
      </c>
      <c r="E255" s="247" t="s">
        <v>13</v>
      </c>
      <c r="F255" s="248"/>
      <c r="G255" s="45"/>
    </row>
    <row r="256" spans="1:7" s="51" customFormat="1" ht="40.5">
      <c r="A256" s="47" t="s">
        <v>59</v>
      </c>
      <c r="B256" s="48">
        <v>42</v>
      </c>
      <c r="C256" s="151" t="str">
        <f xml:space="preserve"> IF(B256="","",setValueToTime(B256))</f>
        <v>3h30min</v>
      </c>
      <c r="D256" s="165" t="s">
        <v>136</v>
      </c>
      <c r="E256" s="239"/>
      <c r="F256" s="240"/>
      <c r="G256" s="50"/>
    </row>
    <row r="257" spans="1:7" s="51" customFormat="1">
      <c r="A257" s="52" t="s">
        <v>15</v>
      </c>
      <c r="B257" s="53">
        <v>3</v>
      </c>
      <c r="C257" s="152" t="str">
        <f t="shared" ref="C257:C263" si="21" xml:space="preserve"> IF(B257="","",setValueToTime(B257))</f>
        <v>0h15min</v>
      </c>
      <c r="D257" s="166" t="s">
        <v>106</v>
      </c>
      <c r="E257" s="241"/>
      <c r="F257" s="242"/>
      <c r="G257" s="50"/>
    </row>
    <row r="258" spans="1:7" s="51" customFormat="1">
      <c r="A258" s="52"/>
      <c r="B258" s="53"/>
      <c r="C258" s="152" t="str">
        <f t="shared" si="21"/>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27.75" thickBot="1">
      <c r="A264" s="161" t="s">
        <v>27</v>
      </c>
      <c r="B264" s="82">
        <f>SUM(B256:B263)</f>
        <v>45</v>
      </c>
      <c r="C264" s="161" t="str">
        <f xml:space="preserve"> setValueToTime(B264)</f>
        <v>3h45min</v>
      </c>
      <c r="D264" s="120"/>
      <c r="E264" s="245"/>
      <c r="F264" s="246"/>
      <c r="G264" s="50"/>
    </row>
    <row r="265" spans="1:7" s="58" customFormat="1" ht="15" thickBot="1">
      <c r="A265" s="76"/>
      <c r="B265" s="76"/>
      <c r="C265" s="76"/>
      <c r="D265" s="76"/>
      <c r="E265" s="76"/>
      <c r="F265" s="76"/>
      <c r="G265" s="57"/>
    </row>
    <row r="266" spans="1:7" s="46" customFormat="1" ht="30" customHeight="1" thickBot="1">
      <c r="A266" s="155" t="s">
        <v>11</v>
      </c>
      <c r="B266" s="163">
        <v>9</v>
      </c>
      <c r="C266" s="163"/>
      <c r="D266" s="156" t="s">
        <v>14</v>
      </c>
      <c r="E266" s="157" t="s">
        <v>126</v>
      </c>
      <c r="F266" s="158" t="s">
        <v>75</v>
      </c>
      <c r="G266" s="45"/>
    </row>
    <row r="267" spans="1:7" s="46" customFormat="1" ht="30" customHeight="1" thickBot="1">
      <c r="A267" s="77" t="s">
        <v>4</v>
      </c>
      <c r="B267" s="160" t="s">
        <v>38</v>
      </c>
      <c r="C267" s="159"/>
      <c r="D267" s="77" t="s">
        <v>12</v>
      </c>
      <c r="E267" s="247" t="s">
        <v>13</v>
      </c>
      <c r="F267" s="248"/>
      <c r="G267" s="45"/>
    </row>
    <row r="268" spans="1:7" s="51" customFormat="1" ht="27">
      <c r="A268" s="47" t="s">
        <v>59</v>
      </c>
      <c r="B268" s="48">
        <v>33</v>
      </c>
      <c r="C268" s="151" t="str">
        <f xml:space="preserve"> IF(B268="","",setValueToTime(B268))</f>
        <v>2h45min</v>
      </c>
      <c r="D268" s="165" t="s">
        <v>134</v>
      </c>
      <c r="E268" s="239"/>
      <c r="F268" s="240"/>
      <c r="G268" s="50"/>
    </row>
    <row r="269" spans="1:7" s="51" customFormat="1">
      <c r="A269" s="52" t="s">
        <v>15</v>
      </c>
      <c r="B269" s="53">
        <v>3</v>
      </c>
      <c r="C269" s="152" t="str">
        <f t="shared" ref="C269:C275" si="22" xml:space="preserve"> IF(B269="","",setValueToTime(B269))</f>
        <v>0h15min</v>
      </c>
      <c r="D269" s="166" t="s">
        <v>106</v>
      </c>
      <c r="E269" s="241"/>
      <c r="F269" s="242"/>
      <c r="G269" s="50"/>
    </row>
    <row r="270" spans="1:7" s="51" customFormat="1">
      <c r="A270" s="52"/>
      <c r="B270" s="53"/>
      <c r="C270" s="152" t="str">
        <f t="shared" si="22"/>
        <v/>
      </c>
      <c r="D270" s="54"/>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61" t="s">
        <v>27</v>
      </c>
      <c r="B276" s="82">
        <f>SUM(B268:B275)</f>
        <v>36</v>
      </c>
      <c r="C276" s="161" t="str">
        <f xml:space="preserve"> setValueToTime(B276)</f>
        <v>3h</v>
      </c>
      <c r="D276" s="120"/>
      <c r="E276" s="245"/>
      <c r="F276" s="246"/>
      <c r="G276" s="50"/>
    </row>
    <row r="277" spans="1:7" s="58" customFormat="1" ht="15" thickBot="1">
      <c r="A277" s="76"/>
      <c r="B277" s="76"/>
      <c r="C277" s="76"/>
      <c r="D277" s="76"/>
      <c r="E277" s="76"/>
      <c r="F277" s="76"/>
      <c r="G277" s="57"/>
    </row>
    <row r="278" spans="1:7" s="46" customFormat="1" ht="30" customHeight="1" thickBot="1">
      <c r="A278" s="155" t="s">
        <v>11</v>
      </c>
      <c r="B278" s="163">
        <v>8</v>
      </c>
      <c r="C278" s="163"/>
      <c r="D278" s="156" t="s">
        <v>14</v>
      </c>
      <c r="E278" s="157" t="s">
        <v>126</v>
      </c>
      <c r="F278" s="158" t="s">
        <v>74</v>
      </c>
      <c r="G278" s="45"/>
    </row>
    <row r="279" spans="1:7" s="46" customFormat="1" ht="30" customHeight="1" thickBot="1">
      <c r="A279" s="77" t="s">
        <v>4</v>
      </c>
      <c r="B279" s="160" t="s">
        <v>38</v>
      </c>
      <c r="C279" s="159"/>
      <c r="D279" s="77" t="s">
        <v>12</v>
      </c>
      <c r="E279" s="247" t="s">
        <v>13</v>
      </c>
      <c r="F279" s="248"/>
      <c r="G279" s="45"/>
    </row>
    <row r="280" spans="1:7" s="51" customFormat="1" ht="27">
      <c r="A280" s="47" t="s">
        <v>118</v>
      </c>
      <c r="B280" s="48">
        <v>12</v>
      </c>
      <c r="C280" s="151" t="str">
        <f xml:space="preserve"> IF(B280="","",setValueToTime(B280))</f>
        <v>1h</v>
      </c>
      <c r="D280" s="165" t="s">
        <v>131</v>
      </c>
      <c r="E280" s="239"/>
      <c r="F280" s="240"/>
      <c r="G280" s="50"/>
    </row>
    <row r="281" spans="1:7" s="51" customFormat="1" ht="27">
      <c r="A281" s="52" t="s">
        <v>66</v>
      </c>
      <c r="B281" s="53">
        <v>12</v>
      </c>
      <c r="C281" s="152" t="str">
        <f t="shared" ref="C281:C287" si="23" xml:space="preserve"> IF(B281="","",setValueToTime(B281))</f>
        <v>1h</v>
      </c>
      <c r="D281" s="166" t="s">
        <v>132</v>
      </c>
      <c r="E281" s="241"/>
      <c r="F281" s="242"/>
      <c r="G281" s="50"/>
    </row>
    <row r="282" spans="1:7" s="51" customFormat="1">
      <c r="A282" s="52" t="s">
        <v>59</v>
      </c>
      <c r="B282" s="53">
        <v>21</v>
      </c>
      <c r="C282" s="152" t="str">
        <f t="shared" si="23"/>
        <v>1h45min</v>
      </c>
      <c r="D282" s="166" t="s">
        <v>133</v>
      </c>
      <c r="E282" s="241"/>
      <c r="F282" s="242"/>
      <c r="G282" s="50"/>
    </row>
    <row r="283" spans="1:7" s="51" customFormat="1">
      <c r="A283" s="52"/>
      <c r="B283" s="53"/>
      <c r="C283" s="152" t="str">
        <f t="shared" si="23"/>
        <v/>
      </c>
      <c r="D283" s="54"/>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27.75" thickBot="1">
      <c r="A288" s="161" t="s">
        <v>27</v>
      </c>
      <c r="B288" s="82">
        <f>SUM(B280:B287)</f>
        <v>45</v>
      </c>
      <c r="C288" s="161" t="str">
        <f xml:space="preserve"> setValueToTime(B288)</f>
        <v>3h45min</v>
      </c>
      <c r="D288" s="120"/>
      <c r="E288" s="245"/>
      <c r="F288" s="246"/>
      <c r="G288" s="50"/>
    </row>
    <row r="289" spans="1:7" s="58" customFormat="1" ht="15" thickBot="1">
      <c r="A289" s="76"/>
      <c r="B289" s="76"/>
      <c r="C289" s="76"/>
      <c r="D289" s="76"/>
      <c r="E289" s="76"/>
      <c r="F289" s="76"/>
      <c r="G289" s="57"/>
    </row>
    <row r="290" spans="1:7" s="46" customFormat="1" ht="30" customHeight="1" thickBot="1">
      <c r="A290" s="155" t="s">
        <v>11</v>
      </c>
      <c r="B290" s="163">
        <v>7</v>
      </c>
      <c r="C290" s="163"/>
      <c r="D290" s="156" t="s">
        <v>14</v>
      </c>
      <c r="E290" s="157" t="s">
        <v>125</v>
      </c>
      <c r="F290" s="158" t="s">
        <v>74</v>
      </c>
      <c r="G290" s="45"/>
    </row>
    <row r="291" spans="1:7" s="46" customFormat="1" ht="30" customHeight="1" thickBot="1">
      <c r="A291" s="77" t="s">
        <v>4</v>
      </c>
      <c r="B291" s="160" t="s">
        <v>38</v>
      </c>
      <c r="C291" s="159"/>
      <c r="D291" s="77" t="s">
        <v>12</v>
      </c>
      <c r="E291" s="247" t="s">
        <v>13</v>
      </c>
      <c r="F291" s="248"/>
      <c r="G291" s="45"/>
    </row>
    <row r="292" spans="1:7" s="51" customFormat="1">
      <c r="A292" s="47" t="s">
        <v>51</v>
      </c>
      <c r="B292" s="48">
        <v>6</v>
      </c>
      <c r="C292" s="151" t="str">
        <f xml:space="preserve"> IF(B292="","",setValueToTime(B292))</f>
        <v>0h30min</v>
      </c>
      <c r="D292" s="165" t="s">
        <v>127</v>
      </c>
      <c r="E292" s="239"/>
      <c r="F292" s="240"/>
      <c r="G292" s="50"/>
    </row>
    <row r="293" spans="1:7" s="51" customFormat="1" ht="27">
      <c r="A293" s="52" t="s">
        <v>65</v>
      </c>
      <c r="B293" s="53">
        <v>12</v>
      </c>
      <c r="C293" s="152" t="str">
        <f t="shared" ref="C293:C299" si="24" xml:space="preserve"> IF(B293="","",setValueToTime(B293))</f>
        <v>1h</v>
      </c>
      <c r="D293" s="166" t="s">
        <v>128</v>
      </c>
      <c r="E293" s="241"/>
      <c r="F293" s="242"/>
      <c r="G293" s="50"/>
    </row>
    <row r="294" spans="1:7" s="51" customFormat="1">
      <c r="A294" s="52" t="s">
        <v>56</v>
      </c>
      <c r="B294" s="53">
        <v>6</v>
      </c>
      <c r="C294" s="152" t="str">
        <f t="shared" si="24"/>
        <v>0h30min</v>
      </c>
      <c r="D294" s="166" t="s">
        <v>129</v>
      </c>
      <c r="E294" s="241"/>
      <c r="F294" s="242"/>
      <c r="G294" s="50"/>
    </row>
    <row r="295" spans="1:7" s="51" customFormat="1" ht="27">
      <c r="A295" s="52" t="s">
        <v>58</v>
      </c>
      <c r="B295" s="53">
        <v>12</v>
      </c>
      <c r="C295" s="152" t="str">
        <f t="shared" si="24"/>
        <v>1h</v>
      </c>
      <c r="D295" s="166" t="s">
        <v>130</v>
      </c>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61" t="s">
        <v>27</v>
      </c>
      <c r="B300" s="82">
        <f>SUM(B292:B299)</f>
        <v>36</v>
      </c>
      <c r="C300" s="161" t="str">
        <f xml:space="preserve"> setValueToTime(B300)</f>
        <v>3h</v>
      </c>
      <c r="D300" s="120"/>
      <c r="E300" s="245"/>
      <c r="F300" s="246"/>
      <c r="G300" s="50"/>
    </row>
    <row r="301" spans="1:7" s="58" customFormat="1" ht="15" thickBot="1">
      <c r="A301" s="76"/>
      <c r="B301" s="76"/>
      <c r="C301" s="76"/>
      <c r="D301" s="76"/>
      <c r="E301" s="76"/>
      <c r="F301" s="76"/>
      <c r="G301" s="57"/>
    </row>
    <row r="302" spans="1:7" s="46" customFormat="1" ht="30" customHeight="1" thickBot="1">
      <c r="A302" s="155" t="s">
        <v>11</v>
      </c>
      <c r="B302" s="163">
        <v>6</v>
      </c>
      <c r="C302" s="163"/>
      <c r="D302" s="156" t="s">
        <v>14</v>
      </c>
      <c r="E302" s="157" t="s">
        <v>104</v>
      </c>
      <c r="F302" s="158" t="s">
        <v>91</v>
      </c>
      <c r="G302" s="45"/>
    </row>
    <row r="303" spans="1:7" s="46" customFormat="1" ht="30" customHeight="1" thickBot="1">
      <c r="A303" s="77" t="s">
        <v>4</v>
      </c>
      <c r="B303" s="160" t="s">
        <v>38</v>
      </c>
      <c r="C303" s="159"/>
      <c r="D303" s="77" t="s">
        <v>12</v>
      </c>
      <c r="E303" s="247" t="s">
        <v>13</v>
      </c>
      <c r="F303" s="248"/>
      <c r="G303" s="45"/>
    </row>
    <row r="304" spans="1:7" s="51" customFormat="1" ht="81">
      <c r="A304" s="47" t="s">
        <v>57</v>
      </c>
      <c r="B304" s="48">
        <v>24</v>
      </c>
      <c r="C304" s="151" t="str">
        <f xml:space="preserve"> IF(B304="","",setValueToTime(B304))</f>
        <v>2h</v>
      </c>
      <c r="D304" s="165" t="s">
        <v>107</v>
      </c>
      <c r="E304" s="239"/>
      <c r="F304" s="240"/>
      <c r="G304" s="50"/>
    </row>
    <row r="305" spans="1:7" s="51" customFormat="1" ht="27">
      <c r="A305" s="52" t="s">
        <v>66</v>
      </c>
      <c r="B305" s="53">
        <v>9</v>
      </c>
      <c r="C305" s="152" t="str">
        <f t="shared" ref="C305:C311" si="25" xml:space="preserve"> IF(B305="","",setValueToTime(B305))</f>
        <v>0h45min</v>
      </c>
      <c r="D305" s="166" t="s">
        <v>108</v>
      </c>
      <c r="E305" s="241"/>
      <c r="F305" s="242"/>
      <c r="G305" s="50"/>
    </row>
    <row r="306" spans="1:7" s="51" customFormat="1">
      <c r="A306" s="52" t="s">
        <v>15</v>
      </c>
      <c r="B306" s="53">
        <v>3</v>
      </c>
      <c r="C306" s="152" t="str">
        <f t="shared" si="25"/>
        <v>0h15min</v>
      </c>
      <c r="D306" s="166" t="s">
        <v>106</v>
      </c>
      <c r="E306" s="241"/>
      <c r="F306" s="242"/>
      <c r="G306" s="50"/>
    </row>
    <row r="307" spans="1:7" s="51" customFormat="1">
      <c r="A307" s="52"/>
      <c r="B307" s="53"/>
      <c r="C307" s="152" t="str">
        <f t="shared" si="25"/>
        <v/>
      </c>
      <c r="D307" s="54"/>
      <c r="E307" s="241"/>
      <c r="F307" s="242"/>
      <c r="G307" s="50"/>
    </row>
    <row r="308" spans="1:7" s="51" customFormat="1">
      <c r="A308" s="53"/>
      <c r="B308" s="53"/>
      <c r="C308" s="153" t="str">
        <f t="shared" si="25"/>
        <v/>
      </c>
      <c r="D308" s="54"/>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15" thickBot="1">
      <c r="A312" s="161" t="s">
        <v>27</v>
      </c>
      <c r="B312" s="82">
        <f>SUM(B304:B311)</f>
        <v>36</v>
      </c>
      <c r="C312" s="161" t="str">
        <f xml:space="preserve"> setValueToTime(B312)</f>
        <v>3h</v>
      </c>
      <c r="D312" s="120"/>
      <c r="E312" s="245"/>
      <c r="F312" s="246"/>
      <c r="G312" s="50"/>
    </row>
    <row r="313" spans="1:7" s="58" customFormat="1" ht="15" thickBot="1">
      <c r="A313" s="76"/>
      <c r="B313" s="76"/>
      <c r="C313" s="76"/>
      <c r="D313" s="76"/>
      <c r="E313" s="76"/>
      <c r="F313" s="76"/>
      <c r="G313" s="57"/>
    </row>
    <row r="314" spans="1:7" s="46" customFormat="1" ht="30" customHeight="1" thickBot="1">
      <c r="A314" s="155" t="s">
        <v>11</v>
      </c>
      <c r="B314" s="163">
        <v>5</v>
      </c>
      <c r="C314" s="163"/>
      <c r="D314" s="156" t="s">
        <v>14</v>
      </c>
      <c r="E314" s="157" t="s">
        <v>104</v>
      </c>
      <c r="F314" s="158" t="s">
        <v>86</v>
      </c>
      <c r="G314" s="45"/>
    </row>
    <row r="315" spans="1:7" s="46" customFormat="1" ht="30" customHeight="1" thickBot="1">
      <c r="A315" s="77" t="s">
        <v>4</v>
      </c>
      <c r="B315" s="160" t="s">
        <v>38</v>
      </c>
      <c r="C315" s="159"/>
      <c r="D315" s="77" t="s">
        <v>12</v>
      </c>
      <c r="E315" s="247" t="s">
        <v>13</v>
      </c>
      <c r="F315" s="248"/>
      <c r="G315" s="45"/>
    </row>
    <row r="316" spans="1:7" s="51" customFormat="1" ht="148.5">
      <c r="A316" s="47" t="s">
        <v>58</v>
      </c>
      <c r="B316" s="48">
        <v>33</v>
      </c>
      <c r="C316" s="151" t="str">
        <f xml:space="preserve"> IF(B316="","",setValueToTime(B316))</f>
        <v>2h45min</v>
      </c>
      <c r="D316" s="165" t="s">
        <v>105</v>
      </c>
      <c r="E316" s="239"/>
      <c r="F316" s="240"/>
      <c r="G316" s="50"/>
    </row>
    <row r="317" spans="1:7" s="51" customFormat="1">
      <c r="A317" s="52" t="s">
        <v>15</v>
      </c>
      <c r="B317" s="53">
        <v>3</v>
      </c>
      <c r="C317" s="152" t="str">
        <f t="shared" ref="C317:C323" si="26" xml:space="preserve"> IF(B317="","",setValueToTime(B317))</f>
        <v>0h15min</v>
      </c>
      <c r="D317" s="166" t="s">
        <v>106</v>
      </c>
      <c r="E317" s="241"/>
      <c r="F317" s="242"/>
      <c r="G317" s="50"/>
    </row>
    <row r="318" spans="1:7" s="51" customFormat="1">
      <c r="A318" s="52"/>
      <c r="B318" s="53"/>
      <c r="C318" s="152" t="str">
        <f t="shared" si="26"/>
        <v/>
      </c>
      <c r="D318" s="54"/>
      <c r="E318" s="241"/>
      <c r="F318" s="242"/>
      <c r="G318" s="50"/>
    </row>
    <row r="319" spans="1:7" s="51" customFormat="1">
      <c r="A319" s="52"/>
      <c r="B319" s="53"/>
      <c r="C319" s="152" t="str">
        <f t="shared" si="26"/>
        <v/>
      </c>
      <c r="D319" s="54"/>
      <c r="E319" s="241"/>
      <c r="F319" s="242"/>
      <c r="G319" s="50"/>
    </row>
    <row r="320" spans="1:7" s="51" customFormat="1">
      <c r="A320" s="53"/>
      <c r="B320" s="53"/>
      <c r="C320" s="153" t="str">
        <f t="shared" si="26"/>
        <v/>
      </c>
      <c r="D320" s="54"/>
      <c r="E320" s="241"/>
      <c r="F320" s="242"/>
      <c r="G320" s="50"/>
    </row>
    <row r="321" spans="1:7" s="51" customFormat="1">
      <c r="A321" s="53"/>
      <c r="B321" s="53"/>
      <c r="C321" s="153" t="str">
        <f t="shared" si="26"/>
        <v/>
      </c>
      <c r="D321" s="54"/>
      <c r="E321" s="241"/>
      <c r="F321" s="242"/>
      <c r="G321" s="50"/>
    </row>
    <row r="322" spans="1:7" s="51" customFormat="1">
      <c r="A322" s="53"/>
      <c r="B322" s="53"/>
      <c r="C322" s="153" t="str">
        <f t="shared" si="26"/>
        <v/>
      </c>
      <c r="D322" s="54"/>
      <c r="E322" s="241"/>
      <c r="F322" s="242"/>
      <c r="G322" s="50"/>
    </row>
    <row r="323" spans="1:7" s="51" customFormat="1" ht="15" thickBot="1">
      <c r="A323" s="55"/>
      <c r="B323" s="55"/>
      <c r="C323" s="154" t="str">
        <f t="shared" si="26"/>
        <v/>
      </c>
      <c r="D323" s="56"/>
      <c r="E323" s="243"/>
      <c r="F323" s="244"/>
      <c r="G323" s="50"/>
    </row>
    <row r="324" spans="1:7" s="51" customFormat="1" ht="15" thickBot="1">
      <c r="A324" s="161" t="s">
        <v>27</v>
      </c>
      <c r="B324" s="82">
        <f>SUM(B316:B323)</f>
        <v>36</v>
      </c>
      <c r="C324" s="161" t="str">
        <f xml:space="preserve"> setValueToTime(B324)</f>
        <v>3h</v>
      </c>
      <c r="D324" s="120"/>
      <c r="E324" s="245"/>
      <c r="F324" s="246"/>
      <c r="G324" s="50"/>
    </row>
    <row r="325" spans="1:7" s="58" customFormat="1" ht="15" thickBot="1">
      <c r="A325" s="76"/>
      <c r="B325" s="76"/>
      <c r="C325" s="76"/>
      <c r="D325" s="76"/>
      <c r="E325" s="76"/>
      <c r="F325" s="76"/>
      <c r="G325" s="57"/>
    </row>
    <row r="326" spans="1:7" s="46" customFormat="1" ht="30" customHeight="1" thickBot="1">
      <c r="A326" s="155" t="s">
        <v>11</v>
      </c>
      <c r="B326" s="163">
        <v>4</v>
      </c>
      <c r="C326" s="163"/>
      <c r="D326" s="156" t="s">
        <v>14</v>
      </c>
      <c r="E326" s="157" t="s">
        <v>97</v>
      </c>
      <c r="F326" s="158" t="s">
        <v>91</v>
      </c>
      <c r="G326" s="45"/>
    </row>
    <row r="327" spans="1:7" s="46" customFormat="1" ht="30" customHeight="1" thickBot="1">
      <c r="A327" s="77" t="s">
        <v>4</v>
      </c>
      <c r="B327" s="160" t="s">
        <v>38</v>
      </c>
      <c r="C327" s="159"/>
      <c r="D327" s="77" t="s">
        <v>12</v>
      </c>
      <c r="E327" s="247" t="s">
        <v>13</v>
      </c>
      <c r="F327" s="248"/>
      <c r="G327" s="45"/>
    </row>
    <row r="328" spans="1:7" s="51" customFormat="1" ht="81">
      <c r="A328" s="47" t="s">
        <v>58</v>
      </c>
      <c r="B328" s="48">
        <v>33</v>
      </c>
      <c r="C328" s="151" t="str">
        <f xml:space="preserve"> IF(B328="","",setValueToTime(B328))</f>
        <v>2h45min</v>
      </c>
      <c r="D328" s="165" t="s">
        <v>102</v>
      </c>
      <c r="E328" s="239"/>
      <c r="F328" s="240"/>
      <c r="G328" s="50"/>
    </row>
    <row r="329" spans="1:7" s="51" customFormat="1">
      <c r="A329" s="52" t="s">
        <v>15</v>
      </c>
      <c r="B329" s="53">
        <v>3</v>
      </c>
      <c r="C329" s="152" t="str">
        <f t="shared" ref="C329:C335" si="27" xml:space="preserve"> IF(B329="","",setValueToTime(B329))</f>
        <v>0h15min</v>
      </c>
      <c r="D329" s="166" t="s">
        <v>103</v>
      </c>
      <c r="E329" s="241"/>
      <c r="F329" s="242"/>
      <c r="G329" s="50"/>
    </row>
    <row r="330" spans="1:7" s="51" customFormat="1">
      <c r="A330" s="52"/>
      <c r="B330" s="53"/>
      <c r="C330" s="152" t="str">
        <f t="shared" si="27"/>
        <v/>
      </c>
      <c r="D330" s="54"/>
      <c r="E330" s="241"/>
      <c r="F330" s="242"/>
      <c r="G330" s="50"/>
    </row>
    <row r="331" spans="1:7" s="51" customFormat="1">
      <c r="A331" s="52"/>
      <c r="B331" s="53"/>
      <c r="C331" s="152" t="str">
        <f t="shared" si="27"/>
        <v/>
      </c>
      <c r="D331" s="54"/>
      <c r="E331" s="241"/>
      <c r="F331" s="242"/>
      <c r="G331" s="50"/>
    </row>
    <row r="332" spans="1:7" s="51" customFormat="1">
      <c r="A332" s="53"/>
      <c r="B332" s="53"/>
      <c r="C332" s="153" t="str">
        <f t="shared" si="27"/>
        <v/>
      </c>
      <c r="D332" s="54"/>
      <c r="E332" s="241"/>
      <c r="F332" s="242"/>
      <c r="G332" s="50"/>
    </row>
    <row r="333" spans="1:7" s="51" customFormat="1">
      <c r="A333" s="53"/>
      <c r="B333" s="53"/>
      <c r="C333" s="153" t="str">
        <f t="shared" si="27"/>
        <v/>
      </c>
      <c r="D333" s="54"/>
      <c r="E333" s="241"/>
      <c r="F333" s="242"/>
      <c r="G333" s="50"/>
    </row>
    <row r="334" spans="1:7" s="51" customFormat="1">
      <c r="A334" s="53"/>
      <c r="B334" s="53"/>
      <c r="C334" s="153" t="str">
        <f t="shared" si="27"/>
        <v/>
      </c>
      <c r="D334" s="54"/>
      <c r="E334" s="241"/>
      <c r="F334" s="242"/>
      <c r="G334" s="50"/>
    </row>
    <row r="335" spans="1:7" s="51" customFormat="1" ht="15" thickBot="1">
      <c r="A335" s="55"/>
      <c r="B335" s="55"/>
      <c r="C335" s="154" t="str">
        <f t="shared" si="27"/>
        <v/>
      </c>
      <c r="D335" s="56"/>
      <c r="E335" s="243"/>
      <c r="F335" s="244"/>
      <c r="G335" s="50"/>
    </row>
    <row r="336" spans="1:7" s="51" customFormat="1" ht="15" thickBot="1">
      <c r="A336" s="161" t="s">
        <v>27</v>
      </c>
      <c r="B336" s="82">
        <f>SUM(B328:B335)</f>
        <v>36</v>
      </c>
      <c r="C336" s="161" t="str">
        <f xml:space="preserve"> setValueToTime(B336)</f>
        <v>3h</v>
      </c>
      <c r="D336" s="120"/>
      <c r="E336" s="245"/>
      <c r="F336" s="246"/>
      <c r="G336" s="50"/>
    </row>
    <row r="337" spans="1:7" s="58" customFormat="1" ht="15" thickBot="1">
      <c r="A337" s="76"/>
      <c r="B337" s="76"/>
      <c r="C337" s="76"/>
      <c r="D337" s="76"/>
      <c r="E337" s="76"/>
      <c r="F337" s="76"/>
      <c r="G337" s="57"/>
    </row>
    <row r="338" spans="1:7" s="46" customFormat="1" ht="30" customHeight="1" thickBot="1">
      <c r="A338" s="155" t="s">
        <v>11</v>
      </c>
      <c r="B338" s="163">
        <v>3</v>
      </c>
      <c r="C338" s="163"/>
      <c r="D338" s="156" t="s">
        <v>14</v>
      </c>
      <c r="E338" s="157" t="s">
        <v>97</v>
      </c>
      <c r="F338" s="158" t="s">
        <v>86</v>
      </c>
      <c r="G338" s="45"/>
    </row>
    <row r="339" spans="1:7" s="46" customFormat="1" ht="30" customHeight="1" thickBot="1">
      <c r="A339" s="77" t="s">
        <v>4</v>
      </c>
      <c r="B339" s="160" t="s">
        <v>38</v>
      </c>
      <c r="C339" s="159"/>
      <c r="D339" s="77" t="s">
        <v>12</v>
      </c>
      <c r="E339" s="247" t="s">
        <v>13</v>
      </c>
      <c r="F339" s="248"/>
      <c r="G339" s="45"/>
    </row>
    <row r="340" spans="1:7" s="51" customFormat="1">
      <c r="A340" s="47" t="s">
        <v>56</v>
      </c>
      <c r="B340" s="48">
        <v>3</v>
      </c>
      <c r="C340" s="151" t="str">
        <f xml:space="preserve"> IF(B340="","",setValueToTime(B340))</f>
        <v>0h15min</v>
      </c>
      <c r="D340" s="165" t="s">
        <v>98</v>
      </c>
      <c r="E340" s="239"/>
      <c r="F340" s="240"/>
      <c r="G340" s="50"/>
    </row>
    <row r="341" spans="1:7" s="51" customFormat="1">
      <c r="A341" s="52" t="s">
        <v>50</v>
      </c>
      <c r="B341" s="53">
        <v>15</v>
      </c>
      <c r="C341" s="152" t="str">
        <f t="shared" ref="C341:C347" si="28" xml:space="preserve"> IF(B341="","",setValueToTime(B341))</f>
        <v>1h15min</v>
      </c>
      <c r="D341" s="166" t="s">
        <v>99</v>
      </c>
      <c r="E341" s="241"/>
      <c r="F341" s="242"/>
      <c r="G341" s="50"/>
    </row>
    <row r="342" spans="1:7" s="51" customFormat="1" ht="27">
      <c r="A342" s="52" t="s">
        <v>52</v>
      </c>
      <c r="B342" s="53">
        <v>6</v>
      </c>
      <c r="C342" s="152" t="str">
        <f t="shared" si="28"/>
        <v>0h30min</v>
      </c>
      <c r="D342" s="166" t="s">
        <v>100</v>
      </c>
      <c r="E342" s="241"/>
      <c r="F342" s="242"/>
      <c r="G342" s="50"/>
    </row>
    <row r="343" spans="1:7" s="51" customFormat="1" ht="67.5">
      <c r="A343" s="52" t="s">
        <v>58</v>
      </c>
      <c r="B343" s="53">
        <v>12</v>
      </c>
      <c r="C343" s="152" t="str">
        <f t="shared" si="28"/>
        <v>1h</v>
      </c>
      <c r="D343" s="166" t="s">
        <v>101</v>
      </c>
      <c r="E343" s="241"/>
      <c r="F343" s="242"/>
      <c r="G343" s="50"/>
    </row>
    <row r="344" spans="1:7" s="51" customFormat="1">
      <c r="A344" s="53"/>
      <c r="B344" s="53"/>
      <c r="C344" s="153" t="str">
        <f t="shared" si="28"/>
        <v/>
      </c>
      <c r="D344" s="54"/>
      <c r="E344" s="241"/>
      <c r="F344" s="242"/>
      <c r="G344" s="50"/>
    </row>
    <row r="345" spans="1:7" s="51" customFormat="1">
      <c r="A345" s="53"/>
      <c r="B345" s="53"/>
      <c r="C345" s="153" t="str">
        <f t="shared" si="28"/>
        <v/>
      </c>
      <c r="D345" s="54"/>
      <c r="E345" s="241"/>
      <c r="F345" s="242"/>
      <c r="G345" s="50"/>
    </row>
    <row r="346" spans="1:7" s="51" customFormat="1">
      <c r="A346" s="53"/>
      <c r="B346" s="53"/>
      <c r="C346" s="153" t="str">
        <f t="shared" si="28"/>
        <v/>
      </c>
      <c r="D346" s="54"/>
      <c r="E346" s="241"/>
      <c r="F346" s="242"/>
      <c r="G346" s="50"/>
    </row>
    <row r="347" spans="1:7" s="51" customFormat="1" ht="15" thickBot="1">
      <c r="A347" s="55"/>
      <c r="B347" s="55"/>
      <c r="C347" s="154" t="str">
        <f t="shared" si="28"/>
        <v/>
      </c>
      <c r="D347" s="56"/>
      <c r="E347" s="243"/>
      <c r="F347" s="244"/>
      <c r="G347" s="50"/>
    </row>
    <row r="348" spans="1:7" s="51" customFormat="1" ht="15" thickBot="1">
      <c r="A348" s="161" t="s">
        <v>27</v>
      </c>
      <c r="B348" s="82">
        <f>SUM(B340:B347)</f>
        <v>36</v>
      </c>
      <c r="C348" s="161" t="str">
        <f xml:space="preserve"> setValueToTime(B348)</f>
        <v>3h</v>
      </c>
      <c r="D348" s="120"/>
      <c r="E348" s="245"/>
      <c r="F348" s="246"/>
      <c r="G348" s="50"/>
    </row>
    <row r="349" spans="1:7" s="58" customFormat="1" ht="15" thickBot="1">
      <c r="A349" s="76"/>
      <c r="B349" s="76"/>
      <c r="C349" s="76"/>
      <c r="D349" s="76"/>
      <c r="E349" s="76"/>
      <c r="F349" s="76"/>
      <c r="G349" s="57"/>
    </row>
    <row r="350" spans="1:7" s="46" customFormat="1" ht="30" customHeight="1" thickBot="1">
      <c r="A350" s="155" t="s">
        <v>11</v>
      </c>
      <c r="B350" s="163">
        <v>2</v>
      </c>
      <c r="C350" s="163"/>
      <c r="D350" s="156" t="s">
        <v>14</v>
      </c>
      <c r="E350" s="157" t="s">
        <v>71</v>
      </c>
      <c r="F350" s="158" t="s">
        <v>75</v>
      </c>
      <c r="G350" s="45"/>
    </row>
    <row r="351" spans="1:7" s="46" customFormat="1" ht="30" customHeight="1" thickBot="1">
      <c r="A351" s="77" t="s">
        <v>4</v>
      </c>
      <c r="B351" s="160" t="s">
        <v>38</v>
      </c>
      <c r="C351" s="159"/>
      <c r="D351" s="77" t="s">
        <v>12</v>
      </c>
      <c r="E351" s="247" t="s">
        <v>13</v>
      </c>
      <c r="F351" s="248"/>
      <c r="G351" s="45"/>
    </row>
    <row r="352" spans="1:7" s="51" customFormat="1" ht="67.5">
      <c r="A352" s="47" t="s">
        <v>58</v>
      </c>
      <c r="B352" s="48">
        <v>33</v>
      </c>
      <c r="C352" s="151" t="str">
        <f xml:space="preserve"> IF(B352="","",setValueToTime(B352))</f>
        <v>2h45min</v>
      </c>
      <c r="D352" s="165" t="s">
        <v>84</v>
      </c>
      <c r="E352" s="239"/>
      <c r="F352" s="240"/>
      <c r="G352" s="50"/>
    </row>
    <row r="353" spans="1:7" s="51" customFormat="1">
      <c r="A353" s="52" t="s">
        <v>15</v>
      </c>
      <c r="B353" s="53">
        <v>3</v>
      </c>
      <c r="C353" s="152" t="str">
        <f t="shared" ref="C353:C359" si="29" xml:space="preserve"> IF(B353="","",setValueToTime(B353))</f>
        <v>0h15min</v>
      </c>
      <c r="D353" s="166" t="s">
        <v>85</v>
      </c>
      <c r="E353" s="241"/>
      <c r="F353" s="242"/>
      <c r="G353" s="50"/>
    </row>
    <row r="354" spans="1:7" s="51" customFormat="1">
      <c r="A354" s="52"/>
      <c r="B354" s="53"/>
      <c r="C354" s="152" t="str">
        <f t="shared" si="29"/>
        <v/>
      </c>
      <c r="D354" s="54"/>
      <c r="E354" s="241"/>
      <c r="F354" s="242"/>
      <c r="G354" s="50"/>
    </row>
    <row r="355" spans="1:7" s="51" customFormat="1">
      <c r="A355" s="52"/>
      <c r="B355" s="53"/>
      <c r="C355" s="152" t="str">
        <f t="shared" si="29"/>
        <v/>
      </c>
      <c r="D355" s="54"/>
      <c r="E355" s="241"/>
      <c r="F355" s="242"/>
      <c r="G355" s="50"/>
    </row>
    <row r="356" spans="1:7" s="51" customFormat="1">
      <c r="A356" s="53"/>
      <c r="B356" s="53"/>
      <c r="C356" s="153" t="str">
        <f t="shared" si="29"/>
        <v/>
      </c>
      <c r="D356" s="54"/>
      <c r="E356" s="241"/>
      <c r="F356" s="242"/>
      <c r="G356" s="50"/>
    </row>
    <row r="357" spans="1:7" s="51" customFormat="1">
      <c r="A357" s="53"/>
      <c r="B357" s="53"/>
      <c r="C357" s="153" t="str">
        <f t="shared" si="29"/>
        <v/>
      </c>
      <c r="D357" s="54"/>
      <c r="E357" s="241"/>
      <c r="F357" s="242"/>
      <c r="G357" s="50"/>
    </row>
    <row r="358" spans="1:7" s="51" customFormat="1">
      <c r="A358" s="53"/>
      <c r="B358" s="53"/>
      <c r="C358" s="153" t="str">
        <f t="shared" si="29"/>
        <v/>
      </c>
      <c r="D358" s="54"/>
      <c r="E358" s="241"/>
      <c r="F358" s="242"/>
      <c r="G358" s="50"/>
    </row>
    <row r="359" spans="1:7" s="51" customFormat="1" ht="15" thickBot="1">
      <c r="A359" s="55"/>
      <c r="B359" s="55"/>
      <c r="C359" s="154" t="str">
        <f t="shared" si="29"/>
        <v/>
      </c>
      <c r="D359" s="56"/>
      <c r="E359" s="243"/>
      <c r="F359" s="244"/>
      <c r="G359" s="50"/>
    </row>
    <row r="360" spans="1:7" s="51" customFormat="1" ht="15" thickBot="1">
      <c r="A360" s="161" t="s">
        <v>27</v>
      </c>
      <c r="B360" s="82">
        <f>SUM(B352:B359)</f>
        <v>36</v>
      </c>
      <c r="C360" s="161" t="str">
        <f xml:space="preserve"> setValueToTime(B360)</f>
        <v>3h</v>
      </c>
      <c r="D360" s="120"/>
      <c r="E360" s="245"/>
      <c r="F360" s="246"/>
      <c r="G360" s="50"/>
    </row>
    <row r="361" spans="1:7" s="58" customFormat="1" ht="15" thickBot="1">
      <c r="A361" s="76"/>
      <c r="B361" s="76"/>
      <c r="C361" s="76"/>
      <c r="D361" s="76"/>
      <c r="E361" s="76"/>
      <c r="F361" s="76"/>
      <c r="G361" s="57"/>
    </row>
    <row r="362" spans="1:7" s="46" customFormat="1" ht="30" customHeight="1" thickBot="1">
      <c r="A362" s="155" t="s">
        <v>11</v>
      </c>
      <c r="B362" s="163">
        <v>1</v>
      </c>
      <c r="C362" s="163"/>
      <c r="D362" s="156" t="s">
        <v>14</v>
      </c>
      <c r="E362" s="157" t="s">
        <v>71</v>
      </c>
      <c r="F362" s="158" t="s">
        <v>74</v>
      </c>
      <c r="G362" s="45"/>
    </row>
    <row r="363" spans="1:7" s="46" customFormat="1" ht="30" customHeight="1" thickBot="1">
      <c r="A363" s="77" t="s">
        <v>4</v>
      </c>
      <c r="B363" s="160" t="s">
        <v>38</v>
      </c>
      <c r="C363" s="159"/>
      <c r="D363" s="77" t="s">
        <v>12</v>
      </c>
      <c r="E363" s="247" t="s">
        <v>13</v>
      </c>
      <c r="F363" s="248"/>
      <c r="G363" s="45"/>
    </row>
    <row r="364" spans="1:7" s="51" customFormat="1">
      <c r="A364" s="47" t="s">
        <v>51</v>
      </c>
      <c r="B364" s="48">
        <v>12</v>
      </c>
      <c r="C364" s="151" t="str">
        <f xml:space="preserve"> IF(B364="","",setValueToTime(B364))</f>
        <v>1h</v>
      </c>
      <c r="D364" s="165" t="s">
        <v>79</v>
      </c>
      <c r="E364" s="239"/>
      <c r="F364" s="240"/>
      <c r="G364" s="50"/>
    </row>
    <row r="365" spans="1:7" s="51" customFormat="1">
      <c r="A365" s="52" t="s">
        <v>56</v>
      </c>
      <c r="B365" s="53">
        <v>9</v>
      </c>
      <c r="C365" s="152" t="str">
        <f t="shared" ref="C365:C371" si="30" xml:space="preserve"> IF(B365="","",setValueToTime(B365))</f>
        <v>0h45min</v>
      </c>
      <c r="D365" s="166" t="s">
        <v>69</v>
      </c>
      <c r="E365" s="241"/>
      <c r="F365" s="242"/>
      <c r="G365" s="50"/>
    </row>
    <row r="366" spans="1:7" s="51" customFormat="1" ht="27">
      <c r="A366" s="52" t="s">
        <v>64</v>
      </c>
      <c r="B366" s="53">
        <v>9</v>
      </c>
      <c r="C366" s="152" t="str">
        <f t="shared" si="30"/>
        <v>0h45min</v>
      </c>
      <c r="D366" s="166" t="s">
        <v>81</v>
      </c>
      <c r="E366" s="250" t="s">
        <v>80</v>
      </c>
      <c r="F366" s="242"/>
      <c r="G366" s="50"/>
    </row>
    <row r="367" spans="1:7" s="51" customFormat="1" ht="27">
      <c r="A367" s="52" t="s">
        <v>65</v>
      </c>
      <c r="B367" s="53">
        <v>3</v>
      </c>
      <c r="C367" s="152" t="str">
        <f t="shared" si="30"/>
        <v>0h15min</v>
      </c>
      <c r="D367" s="166" t="s">
        <v>82</v>
      </c>
      <c r="E367" s="241"/>
      <c r="F367" s="242"/>
      <c r="G367" s="50"/>
    </row>
    <row r="368" spans="1:7" s="51" customFormat="1" ht="40.5">
      <c r="A368" s="53" t="s">
        <v>58</v>
      </c>
      <c r="B368" s="53">
        <v>18</v>
      </c>
      <c r="C368" s="153" t="str">
        <f t="shared" si="30"/>
        <v>1h30min</v>
      </c>
      <c r="D368" s="166" t="s">
        <v>83</v>
      </c>
      <c r="E368" s="241"/>
      <c r="F368" s="242"/>
      <c r="G368" s="50"/>
    </row>
    <row r="369" spans="1:7" s="51" customFormat="1">
      <c r="A369" s="53"/>
      <c r="B369" s="53"/>
      <c r="C369" s="153" t="str">
        <f t="shared" si="30"/>
        <v/>
      </c>
      <c r="D369" s="54"/>
      <c r="E369" s="241"/>
      <c r="F369" s="242"/>
      <c r="G369" s="50"/>
    </row>
    <row r="370" spans="1:7" s="51" customFormat="1">
      <c r="A370" s="53"/>
      <c r="B370" s="53"/>
      <c r="C370" s="153" t="str">
        <f t="shared" si="30"/>
        <v/>
      </c>
      <c r="D370" s="54"/>
      <c r="E370" s="241"/>
      <c r="F370" s="242"/>
      <c r="G370" s="50"/>
    </row>
    <row r="371" spans="1:7" s="51" customFormat="1" ht="15" thickBot="1">
      <c r="A371" s="55"/>
      <c r="B371" s="55"/>
      <c r="C371" s="154" t="str">
        <f t="shared" si="30"/>
        <v/>
      </c>
      <c r="D371" s="56"/>
      <c r="E371" s="243"/>
      <c r="F371" s="244"/>
      <c r="G371" s="50"/>
    </row>
    <row r="372" spans="1:7" s="51" customFormat="1" ht="27.75" thickBot="1">
      <c r="A372" s="161" t="s">
        <v>27</v>
      </c>
      <c r="B372" s="82">
        <f>SUM(B364:B371)</f>
        <v>51</v>
      </c>
      <c r="C372" s="161" t="str">
        <f xml:space="preserve"> setValueToTime(B372)</f>
        <v>4h15min</v>
      </c>
      <c r="D372" s="120"/>
      <c r="E372" s="245"/>
      <c r="F372" s="246"/>
      <c r="G372" s="50"/>
    </row>
    <row r="373" spans="1:7" s="58" customFormat="1">
      <c r="A373" s="76"/>
      <c r="B373" s="76"/>
      <c r="C373" s="76"/>
      <c r="D373" s="76"/>
      <c r="E373" s="76"/>
      <c r="F373" s="76"/>
      <c r="G373" s="57"/>
    </row>
  </sheetData>
  <sheetProtection formatRows="0" insertRows="0" insertHyperlinks="0" deleteRows="0" selectLockedCells="1"/>
  <mergeCells count="310">
    <mergeCell ref="E12:F12"/>
    <mergeCell ref="E3:F3"/>
    <mergeCell ref="E4:F4"/>
    <mergeCell ref="E5:F5"/>
    <mergeCell ref="E6:F6"/>
    <mergeCell ref="E7:F7"/>
    <mergeCell ref="E8:F8"/>
    <mergeCell ref="E9:F9"/>
    <mergeCell ref="E10:F10"/>
    <mergeCell ref="E11:F11"/>
    <mergeCell ref="E36:F36"/>
    <mergeCell ref="E27:F27"/>
    <mergeCell ref="E28:F28"/>
    <mergeCell ref="E29:F29"/>
    <mergeCell ref="E30:F30"/>
    <mergeCell ref="E31:F31"/>
    <mergeCell ref="E32:F32"/>
    <mergeCell ref="E33:F33"/>
    <mergeCell ref="E34:F34"/>
    <mergeCell ref="E35:F35"/>
    <mergeCell ref="E60:F60"/>
    <mergeCell ref="E51:F51"/>
    <mergeCell ref="E52:F52"/>
    <mergeCell ref="E53:F53"/>
    <mergeCell ref="E54:F54"/>
    <mergeCell ref="E55:F55"/>
    <mergeCell ref="E56:F56"/>
    <mergeCell ref="E57:F57"/>
    <mergeCell ref="E58:F58"/>
    <mergeCell ref="E59:F59"/>
    <mergeCell ref="E96:F96"/>
    <mergeCell ref="E87:F87"/>
    <mergeCell ref="E88:F88"/>
    <mergeCell ref="E89:F89"/>
    <mergeCell ref="E90:F90"/>
    <mergeCell ref="E91:F91"/>
    <mergeCell ref="E92:F92"/>
    <mergeCell ref="E93:F93"/>
    <mergeCell ref="E94:F94"/>
    <mergeCell ref="E95:F95"/>
    <mergeCell ref="E132:F132"/>
    <mergeCell ref="E123:F123"/>
    <mergeCell ref="E124:F124"/>
    <mergeCell ref="E125:F125"/>
    <mergeCell ref="E126:F126"/>
    <mergeCell ref="E127:F127"/>
    <mergeCell ref="E128:F128"/>
    <mergeCell ref="E129:F129"/>
    <mergeCell ref="E130:F130"/>
    <mergeCell ref="E131:F131"/>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92:F192"/>
    <mergeCell ref="E183:F183"/>
    <mergeCell ref="E184:F184"/>
    <mergeCell ref="E185:F185"/>
    <mergeCell ref="E186:F186"/>
    <mergeCell ref="E187:F187"/>
    <mergeCell ref="E188:F188"/>
    <mergeCell ref="E189:F189"/>
    <mergeCell ref="E190:F190"/>
    <mergeCell ref="E191:F191"/>
    <mergeCell ref="E336:F336"/>
    <mergeCell ref="E339:F339"/>
    <mergeCell ref="E219:F219"/>
    <mergeCell ref="E220:F220"/>
    <mergeCell ref="E221:F221"/>
    <mergeCell ref="E222:F222"/>
    <mergeCell ref="E223:F223"/>
    <mergeCell ref="E224:F224"/>
    <mergeCell ref="E225:F225"/>
    <mergeCell ref="E226:F226"/>
    <mergeCell ref="E227:F227"/>
    <mergeCell ref="E228:F228"/>
    <mergeCell ref="E323:F323"/>
    <mergeCell ref="E324:F324"/>
    <mergeCell ref="E315:F315"/>
    <mergeCell ref="E316:F316"/>
    <mergeCell ref="E317:F317"/>
    <mergeCell ref="E318:F318"/>
    <mergeCell ref="E319:F319"/>
    <mergeCell ref="E320:F320"/>
    <mergeCell ref="E321:F321"/>
    <mergeCell ref="E322:F322"/>
    <mergeCell ref="E312:F312"/>
    <mergeCell ref="E291:F291"/>
    <mergeCell ref="E348:F348"/>
    <mergeCell ref="E370:F370"/>
    <mergeCell ref="E341:F341"/>
    <mergeCell ref="E342:F342"/>
    <mergeCell ref="E343:F343"/>
    <mergeCell ref="E243:F243"/>
    <mergeCell ref="E244:F244"/>
    <mergeCell ref="E245:F245"/>
    <mergeCell ref="E246:F246"/>
    <mergeCell ref="E247:F247"/>
    <mergeCell ref="E248:F248"/>
    <mergeCell ref="E249:F249"/>
    <mergeCell ref="E250:F250"/>
    <mergeCell ref="E251:F251"/>
    <mergeCell ref="E252:F252"/>
    <mergeCell ref="E327:F327"/>
    <mergeCell ref="E328:F328"/>
    <mergeCell ref="E329:F329"/>
    <mergeCell ref="E330:F330"/>
    <mergeCell ref="E331:F331"/>
    <mergeCell ref="E332:F332"/>
    <mergeCell ref="E333:F333"/>
    <mergeCell ref="E334:F334"/>
    <mergeCell ref="E335:F335"/>
    <mergeCell ref="E340:F340"/>
    <mergeCell ref="E372:F372"/>
    <mergeCell ref="E351:F351"/>
    <mergeCell ref="E352:F352"/>
    <mergeCell ref="E353:F353"/>
    <mergeCell ref="E354:F354"/>
    <mergeCell ref="E355:F355"/>
    <mergeCell ref="E356:F356"/>
    <mergeCell ref="E363:F363"/>
    <mergeCell ref="E364:F364"/>
    <mergeCell ref="E365:F365"/>
    <mergeCell ref="E366:F366"/>
    <mergeCell ref="E367:F367"/>
    <mergeCell ref="E368:F368"/>
    <mergeCell ref="E360:F360"/>
    <mergeCell ref="E369:F369"/>
    <mergeCell ref="E371:F371"/>
    <mergeCell ref="E357:F357"/>
    <mergeCell ref="E358:F358"/>
    <mergeCell ref="E359:F359"/>
    <mergeCell ref="E344:F344"/>
    <mergeCell ref="E345:F345"/>
    <mergeCell ref="E346:F346"/>
    <mergeCell ref="E347:F347"/>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31:F231"/>
    <mergeCell ref="E232:F232"/>
    <mergeCell ref="E233:F233"/>
    <mergeCell ref="E234:F234"/>
    <mergeCell ref="E235:F235"/>
    <mergeCell ref="E236:F236"/>
    <mergeCell ref="E237:F237"/>
    <mergeCell ref="E238:F238"/>
    <mergeCell ref="E239:F239"/>
    <mergeCell ref="E240:F240"/>
    <mergeCell ref="E255:F255"/>
    <mergeCell ref="E256:F256"/>
    <mergeCell ref="E257:F257"/>
    <mergeCell ref="E258:F258"/>
    <mergeCell ref="E259:F259"/>
    <mergeCell ref="E260:F260"/>
    <mergeCell ref="E261:F261"/>
    <mergeCell ref="E262:F262"/>
    <mergeCell ref="E263:F263"/>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48:F48"/>
    <mergeCell ref="E39:F39"/>
    <mergeCell ref="E40:F40"/>
    <mergeCell ref="E41:F41"/>
    <mergeCell ref="E42:F42"/>
    <mergeCell ref="E43:F43"/>
    <mergeCell ref="E44:F44"/>
    <mergeCell ref="E45:F45"/>
    <mergeCell ref="E46:F46"/>
    <mergeCell ref="E47:F47"/>
    <mergeCell ref="E24:F24"/>
    <mergeCell ref="E15:F15"/>
    <mergeCell ref="E16:F16"/>
    <mergeCell ref="E17:F17"/>
    <mergeCell ref="E18:F18"/>
    <mergeCell ref="E19:F19"/>
    <mergeCell ref="E20:F20"/>
    <mergeCell ref="E21:F21"/>
    <mergeCell ref="E22:F22"/>
    <mergeCell ref="E23:F23"/>
  </mergeCells>
  <phoneticPr fontId="0" type="noConversion"/>
  <conditionalFormatting sqref="B372">
    <cfRule type="cellIs" dxfId="32" priority="31" operator="greaterThan">
      <formula>60</formula>
    </cfRule>
  </conditionalFormatting>
  <conditionalFormatting sqref="B360">
    <cfRule type="cellIs" dxfId="31" priority="30" operator="greaterThan">
      <formula>60</formula>
    </cfRule>
  </conditionalFormatting>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364:B371 B352:B359 B340:B347 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72 B360 B348 B336 B324 B312 B300 B288 B276 B264 B252 B240 B228 B216 B204 B192 B180 B168 B156 B144 B132 B120 B108 B96 B84 B72 B60 B48 B36 B24 B12">
      <formula1>0</formula1>
      <formula2>60</formula2>
    </dataValidation>
    <dataValidation type="list" allowBlank="1" showInputMessage="1" showErrorMessage="1" sqref="A364:A371 A352:A359 A340:A347 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366"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0</xdr:col>
                <xdr:colOff>1885950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942975</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89"/>
    </row>
    <row r="11" spans="1:61" ht="18">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89"/>
    </row>
    <row r="12" spans="1:61" ht="18.75" thickBot="1">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89"/>
    </row>
    <row r="13" spans="1:61" ht="18.75" thickBot="1">
      <c r="A13" s="206" t="s">
        <v>11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89"/>
    </row>
    <row r="14" spans="1:61" ht="15.75" thickBot="1">
      <c r="A14" s="102"/>
      <c r="B14" s="103"/>
      <c r="C14" s="103"/>
      <c r="D14" s="103"/>
      <c r="E14" s="209" t="s">
        <v>32</v>
      </c>
      <c r="F14" s="209"/>
      <c r="G14" s="209"/>
      <c r="H14" s="209"/>
      <c r="I14" s="103"/>
      <c r="J14" s="103"/>
      <c r="K14" s="210" t="s">
        <v>22</v>
      </c>
      <c r="L14" s="210"/>
      <c r="M14" s="210"/>
      <c r="N14" s="210"/>
      <c r="O14" s="128"/>
      <c r="P14" s="128"/>
      <c r="Q14" s="209" t="s">
        <v>33</v>
      </c>
      <c r="R14" s="209"/>
      <c r="S14" s="209"/>
      <c r="T14" s="209"/>
      <c r="U14" s="103"/>
      <c r="V14" s="103"/>
      <c r="W14" s="210" t="s">
        <v>23</v>
      </c>
      <c r="X14" s="210"/>
      <c r="Y14" s="210"/>
      <c r="Z14" s="210"/>
      <c r="AA14" s="128"/>
      <c r="AB14" s="128"/>
      <c r="AC14" s="209" t="s">
        <v>34</v>
      </c>
      <c r="AD14" s="209"/>
      <c r="AE14" s="209"/>
      <c r="AF14" s="209"/>
      <c r="AG14" s="103"/>
      <c r="AH14" s="103"/>
      <c r="AI14" s="210" t="s">
        <v>24</v>
      </c>
      <c r="AJ14" s="210"/>
      <c r="AK14" s="210"/>
      <c r="AL14" s="210"/>
      <c r="AM14" s="128"/>
      <c r="AN14" s="128"/>
      <c r="AO14" s="209" t="s">
        <v>35</v>
      </c>
      <c r="AP14" s="209"/>
      <c r="AQ14" s="209"/>
      <c r="AR14" s="209"/>
      <c r="AS14" s="103"/>
      <c r="AT14" s="103"/>
      <c r="AU14" s="210" t="s">
        <v>25</v>
      </c>
      <c r="AV14" s="210"/>
      <c r="AW14" s="210"/>
      <c r="AX14" s="210"/>
      <c r="AY14" s="128"/>
      <c r="AZ14" s="128"/>
      <c r="BA14" s="209" t="s">
        <v>36</v>
      </c>
      <c r="BB14" s="209"/>
      <c r="BC14" s="209"/>
      <c r="BD14" s="209"/>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7" t="s">
        <v>13</v>
      </c>
      <c r="F2" s="24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61" t="s">
        <v>27</v>
      </c>
      <c r="B11" s="82">
        <f>SUM(B3:B10)</f>
        <v>0</v>
      </c>
      <c r="C11" s="161" t="str">
        <f xml:space="preserve"> setValueToTime(B11)</f>
        <v>0h</v>
      </c>
      <c r="D11" s="120"/>
      <c r="E11" s="245"/>
      <c r="F11" s="246"/>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2E1DA-9D46-4A63-8158-3F9E2F8DF6C2}">
  <ds:schemaRefs>
    <ds:schemaRef ds:uri="http://schemas.microsoft.com/sharepoint/v3/contenttype/form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2021-03-04T15:35:14Z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