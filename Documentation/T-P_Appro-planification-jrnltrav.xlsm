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B36" i="12"/>
  <c r="C35" i="12"/>
  <c r="C34" i="12"/>
  <c r="C33" i="12"/>
  <c r="C32" i="12"/>
  <c r="C31" i="12"/>
  <c r="C30" i="12"/>
  <c r="C17" i="12"/>
  <c r="C16" i="12"/>
  <c r="C24" i="12"/>
  <c r="C29" i="12"/>
  <c r="C36" i="12"/>
  <c r="C28" i="12"/>
  <c r="B48" i="12" l="1"/>
  <c r="C47" i="12"/>
  <c r="C46" i="12"/>
  <c r="C45" i="12"/>
  <c r="C44" i="12"/>
  <c r="C43" i="12"/>
  <c r="C42" i="12"/>
  <c r="C41" i="12"/>
  <c r="C40" i="12"/>
  <c r="C48" i="12"/>
  <c r="B60" i="12" l="1"/>
  <c r="C59" i="12"/>
  <c r="C58" i="12"/>
  <c r="C57" i="12"/>
  <c r="C56" i="12"/>
  <c r="C55" i="12"/>
  <c r="B72" i="12"/>
  <c r="C71" i="12"/>
  <c r="C70" i="12"/>
  <c r="C69" i="12"/>
  <c r="C68" i="12"/>
  <c r="C67" i="12"/>
  <c r="C66" i="12"/>
  <c r="C65" i="12"/>
  <c r="C64" i="12"/>
  <c r="B84" i="12"/>
  <c r="C83" i="12"/>
  <c r="C82" i="12"/>
  <c r="C81" i="12"/>
  <c r="C80" i="12"/>
  <c r="C79" i="12"/>
  <c r="C78" i="12"/>
  <c r="C77" i="12"/>
  <c r="C76" i="12"/>
  <c r="C54" i="12"/>
  <c r="C53" i="12"/>
  <c r="C52" i="12"/>
  <c r="C60" i="12"/>
  <c r="C72" i="12"/>
  <c r="C84" i="12"/>
  <c r="B96" i="12" l="1"/>
  <c r="C95" i="12"/>
  <c r="C94" i="12"/>
  <c r="C93" i="12"/>
  <c r="C92" i="12"/>
  <c r="C91" i="12"/>
  <c r="B108" i="12"/>
  <c r="C107" i="12"/>
  <c r="C106" i="12"/>
  <c r="C105" i="12"/>
  <c r="C104" i="12"/>
  <c r="C103" i="12"/>
  <c r="C102" i="12"/>
  <c r="C90" i="12"/>
  <c r="C89" i="12"/>
  <c r="C88" i="12"/>
  <c r="C96" i="12"/>
  <c r="C100" i="12"/>
  <c r="C101" i="12"/>
  <c r="C108" i="12"/>
  <c r="B120" i="12" l="1"/>
  <c r="C119" i="12"/>
  <c r="C118" i="12"/>
  <c r="C117" i="12"/>
  <c r="C116" i="12"/>
  <c r="C115" i="12"/>
  <c r="C114" i="12"/>
  <c r="B12" i="10"/>
  <c r="C11" i="10"/>
  <c r="C10" i="10"/>
  <c r="C9" i="10"/>
  <c r="C8" i="10"/>
  <c r="C7" i="10"/>
  <c r="C6" i="10"/>
  <c r="B24" i="10"/>
  <c r="C23" i="10"/>
  <c r="C22" i="10"/>
  <c r="C21" i="10"/>
  <c r="C20" i="10"/>
  <c r="C19" i="10"/>
  <c r="C18" i="10"/>
  <c r="C17" i="10"/>
  <c r="C113" i="12"/>
  <c r="C112" i="12"/>
  <c r="C120" i="12"/>
  <c r="C5" i="10"/>
  <c r="C4" i="10"/>
  <c r="C16" i="10"/>
  <c r="C12" i="10"/>
  <c r="C24" i="10"/>
  <c r="B36" i="10" l="1"/>
  <c r="C35" i="10"/>
  <c r="C34" i="10"/>
  <c r="C33" i="10"/>
  <c r="C32" i="10"/>
  <c r="C31" i="10"/>
  <c r="B48" i="10"/>
  <c r="C47" i="10"/>
  <c r="C46" i="10"/>
  <c r="C45" i="10"/>
  <c r="C44" i="10"/>
  <c r="C43" i="10"/>
  <c r="C42" i="10"/>
  <c r="B132" i="12"/>
  <c r="C131" i="12"/>
  <c r="C130" i="12"/>
  <c r="C129" i="12"/>
  <c r="C128" i="12"/>
  <c r="C127" i="12"/>
  <c r="C126" i="12"/>
  <c r="B144" i="12"/>
  <c r="C143" i="12"/>
  <c r="C142" i="12"/>
  <c r="C141" i="12"/>
  <c r="C140" i="12"/>
  <c r="C139" i="12"/>
  <c r="C138" i="12"/>
  <c r="C30" i="10"/>
  <c r="C29" i="10"/>
  <c r="C28" i="10"/>
  <c r="C41" i="10"/>
  <c r="C40" i="10"/>
  <c r="C36" i="10"/>
  <c r="C48" i="10"/>
  <c r="C125" i="12"/>
  <c r="C124" i="12"/>
  <c r="C137" i="12"/>
  <c r="C136" i="12"/>
  <c r="C132" i="12"/>
  <c r="C144" i="12"/>
  <c r="B60" i="10" l="1"/>
  <c r="C59" i="10"/>
  <c r="C58" i="10"/>
  <c r="C57" i="10"/>
  <c r="C56" i="10"/>
  <c r="C55" i="10"/>
  <c r="C54" i="10"/>
  <c r="B156" i="12"/>
  <c r="C155" i="12"/>
  <c r="C154" i="12"/>
  <c r="C153" i="12"/>
  <c r="C152" i="12"/>
  <c r="C151" i="12"/>
  <c r="C150" i="12"/>
  <c r="C53" i="10"/>
  <c r="C52" i="10"/>
  <c r="C60" i="10"/>
  <c r="C149" i="12"/>
  <c r="C148" i="12"/>
  <c r="C156" i="12"/>
  <c r="B168" i="12" l="1"/>
  <c r="C167" i="12"/>
  <c r="C166" i="12"/>
  <c r="C165" i="12"/>
  <c r="C164" i="12"/>
  <c r="C163" i="12"/>
  <c r="C162" i="12"/>
  <c r="B180" i="12"/>
  <c r="C179" i="12"/>
  <c r="C178" i="12"/>
  <c r="C177" i="12"/>
  <c r="C176" i="12"/>
  <c r="C175" i="12"/>
  <c r="C174" i="12"/>
  <c r="C161" i="12"/>
  <c r="C160" i="12"/>
  <c r="C168" i="12"/>
  <c r="C173" i="12"/>
  <c r="C172" i="12"/>
  <c r="C180" i="12"/>
  <c r="B72" i="10" l="1"/>
  <c r="C71" i="10"/>
  <c r="C70" i="10"/>
  <c r="C69" i="10"/>
  <c r="C68" i="10"/>
  <c r="C67" i="10"/>
  <c r="B84" i="10"/>
  <c r="C83" i="10"/>
  <c r="C82" i="10"/>
  <c r="C81" i="10"/>
  <c r="C80" i="10"/>
  <c r="C79" i="10"/>
  <c r="C78" i="10"/>
  <c r="C65" i="10"/>
  <c r="C64" i="10"/>
  <c r="C77" i="10"/>
  <c r="C76" i="10"/>
  <c r="C84" i="10"/>
  <c r="C72" i="10"/>
  <c r="C66" i="10"/>
  <c r="B192" i="12" l="1"/>
  <c r="C191" i="12"/>
  <c r="C190" i="12"/>
  <c r="C189" i="12"/>
  <c r="C188" i="12"/>
  <c r="C187" i="12"/>
  <c r="B204" i="12"/>
  <c r="C203" i="12"/>
  <c r="C202" i="12"/>
  <c r="C201" i="12"/>
  <c r="C200" i="12"/>
  <c r="C199" i="12"/>
  <c r="C198" i="12"/>
  <c r="B96" i="10"/>
  <c r="C95" i="10"/>
  <c r="C94" i="10"/>
  <c r="C93" i="10"/>
  <c r="C92" i="10"/>
  <c r="C91" i="10"/>
  <c r="C90" i="10"/>
  <c r="B108" i="10"/>
  <c r="C107" i="10"/>
  <c r="C106" i="10"/>
  <c r="C105" i="10"/>
  <c r="C104" i="10"/>
  <c r="C103" i="10"/>
  <c r="C102" i="10"/>
  <c r="C186" i="12"/>
  <c r="C185" i="12"/>
  <c r="C184" i="12"/>
  <c r="C192" i="12"/>
  <c r="C197" i="12"/>
  <c r="C196" i="12"/>
  <c r="C204" i="12"/>
  <c r="C89" i="10"/>
  <c r="C88" i="10"/>
  <c r="C101" i="10"/>
  <c r="C100" i="10"/>
  <c r="C96" i="10"/>
  <c r="C108" i="10"/>
  <c r="B216" i="12" l="1"/>
  <c r="C215" i="12"/>
  <c r="C214" i="12"/>
  <c r="C213" i="12"/>
  <c r="C212" i="12"/>
  <c r="C211" i="12"/>
  <c r="C210" i="12"/>
  <c r="C209" i="12"/>
  <c r="C208" i="12"/>
  <c r="C216" i="12"/>
  <c r="B228" i="12" l="1"/>
  <c r="C227" i="12"/>
  <c r="C226" i="12"/>
  <c r="C225" i="12"/>
  <c r="C224" i="12"/>
  <c r="C223" i="12"/>
  <c r="C222" i="12"/>
  <c r="B120" i="10"/>
  <c r="C119" i="10"/>
  <c r="C118" i="10"/>
  <c r="C117" i="10"/>
  <c r="C116" i="10"/>
  <c r="C115" i="10"/>
  <c r="C114" i="10"/>
  <c r="B132" i="10"/>
  <c r="C131" i="10"/>
  <c r="C130" i="10"/>
  <c r="C129" i="10"/>
  <c r="C128" i="10"/>
  <c r="C127" i="10"/>
  <c r="C126" i="10"/>
  <c r="C221" i="12"/>
  <c r="C220" i="12"/>
  <c r="C228" i="12"/>
  <c r="C125" i="10"/>
  <c r="C124" i="10"/>
  <c r="C113" i="10"/>
  <c r="C112" i="10"/>
  <c r="C120" i="10"/>
  <c r="C132" i="10"/>
  <c r="B240" i="12" l="1"/>
  <c r="C239" i="12"/>
  <c r="C238" i="12"/>
  <c r="C237" i="12"/>
  <c r="C236" i="12"/>
  <c r="C235" i="12"/>
  <c r="C234" i="12"/>
  <c r="C233" i="12"/>
  <c r="C232" i="12"/>
  <c r="C240" i="12"/>
  <c r="B252" i="12" l="1"/>
  <c r="C251" i="12"/>
  <c r="C250" i="12"/>
  <c r="C249" i="12"/>
  <c r="C248" i="12"/>
  <c r="C247" i="12"/>
  <c r="C246" i="12"/>
  <c r="C245" i="12"/>
  <c r="C244" i="12"/>
  <c r="C252" i="12"/>
  <c r="B144" i="10" l="1"/>
  <c r="C143" i="10"/>
  <c r="C142" i="10"/>
  <c r="C141" i="10"/>
  <c r="C140" i="10"/>
  <c r="C139" i="10"/>
  <c r="C138" i="10"/>
  <c r="B156" i="10"/>
  <c r="C155" i="10"/>
  <c r="C154" i="10"/>
  <c r="C153" i="10"/>
  <c r="C152" i="10"/>
  <c r="C151" i="10"/>
  <c r="C150" i="10"/>
  <c r="B168" i="10"/>
  <c r="C167" i="10"/>
  <c r="C166" i="10"/>
  <c r="C165" i="10"/>
  <c r="C164" i="10"/>
  <c r="C163" i="10"/>
  <c r="C162" i="10"/>
  <c r="B264" i="12"/>
  <c r="C263" i="12"/>
  <c r="C262" i="12"/>
  <c r="C261" i="12"/>
  <c r="C260" i="12"/>
  <c r="C259" i="12"/>
  <c r="C258" i="12"/>
  <c r="C257" i="12"/>
  <c r="C256" i="12"/>
  <c r="C264" i="12"/>
  <c r="C144" i="10"/>
  <c r="C156" i="10"/>
  <c r="C160" i="10"/>
  <c r="C136" i="10"/>
  <c r="C149" i="10"/>
  <c r="C168" i="10"/>
  <c r="C148" i="10"/>
  <c r="C137" i="10"/>
  <c r="C161" i="10"/>
  <c r="B276" i="12" l="1"/>
  <c r="C275" i="12"/>
  <c r="C274" i="12"/>
  <c r="C273" i="12"/>
  <c r="C272" i="12"/>
  <c r="C271" i="12"/>
  <c r="C270" i="12"/>
  <c r="B288" i="12"/>
  <c r="C287" i="12"/>
  <c r="C286" i="12"/>
  <c r="C285" i="12"/>
  <c r="C284" i="12"/>
  <c r="C283" i="12"/>
  <c r="C282" i="12"/>
  <c r="C269" i="12"/>
  <c r="C268" i="12"/>
  <c r="C276" i="12"/>
  <c r="C281" i="12"/>
  <c r="C280" i="12"/>
  <c r="C288" i="12"/>
  <c r="B300" i="12" l="1"/>
  <c r="C299" i="12"/>
  <c r="C298" i="12"/>
  <c r="C297" i="12"/>
  <c r="C296" i="12"/>
  <c r="C295" i="12"/>
  <c r="C294" i="12"/>
  <c r="C293" i="12"/>
  <c r="C292" i="12"/>
  <c r="C300" i="12"/>
  <c r="B312" i="12" l="1"/>
  <c r="C311" i="12"/>
  <c r="C310" i="12"/>
  <c r="C309" i="12"/>
  <c r="C308" i="12"/>
  <c r="C307" i="12"/>
  <c r="C306" i="12"/>
  <c r="B324" i="12"/>
  <c r="C323" i="12"/>
  <c r="C322" i="12"/>
  <c r="C321" i="12"/>
  <c r="C320" i="12"/>
  <c r="C319"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305" i="12"/>
  <c r="C304" i="12"/>
  <c r="C318" i="12"/>
  <c r="C317" i="12"/>
  <c r="C316" i="12"/>
  <c r="C312" i="12"/>
  <c r="C324"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336" i="12"/>
  <c r="C335" i="12"/>
  <c r="C334" i="12"/>
  <c r="C333" i="12"/>
  <c r="C332" i="12"/>
  <c r="C331" i="12"/>
  <c r="C330" i="12"/>
  <c r="C329" i="12"/>
  <c r="C328" i="12"/>
  <c r="C336" i="12"/>
  <c r="C220" i="10"/>
  <c r="C233" i="10"/>
  <c r="C228" i="10"/>
  <c r="C232" i="10"/>
  <c r="C240" i="10"/>
  <c r="C222" i="10"/>
  <c r="C221" i="10"/>
  <c r="B348" i="12" l="1"/>
  <c r="C347" i="12"/>
  <c r="C346" i="12"/>
  <c r="C345" i="12"/>
  <c r="C344" i="12"/>
  <c r="C343" i="12"/>
  <c r="C342" i="12"/>
  <c r="B360" i="12"/>
  <c r="C359" i="12"/>
  <c r="C358" i="12"/>
  <c r="C357" i="12"/>
  <c r="C356" i="12"/>
  <c r="C355" i="12"/>
  <c r="C354" i="12"/>
  <c r="C341" i="12"/>
  <c r="C340" i="12"/>
  <c r="C348" i="12"/>
  <c r="C353" i="12"/>
  <c r="C352" i="12"/>
  <c r="C360" i="12"/>
  <c r="B372" i="12" l="1"/>
  <c r="C371" i="12"/>
  <c r="C370" i="12"/>
  <c r="C369" i="12"/>
  <c r="C368" i="12"/>
  <c r="C367" i="12"/>
  <c r="C366" i="12"/>
  <c r="B384" i="12"/>
  <c r="C383" i="12"/>
  <c r="C382" i="12"/>
  <c r="C381" i="12"/>
  <c r="C380" i="12"/>
  <c r="C379" i="12"/>
  <c r="C378" i="12"/>
  <c r="C365" i="12"/>
  <c r="C364" i="12"/>
  <c r="C372" i="12"/>
  <c r="C377" i="12"/>
  <c r="C376" i="12"/>
  <c r="C384" i="12"/>
  <c r="B396" i="12" l="1"/>
  <c r="C395" i="12"/>
  <c r="C394" i="12"/>
  <c r="C393" i="12"/>
  <c r="C392" i="12"/>
  <c r="C391" i="12"/>
  <c r="C390" i="12"/>
  <c r="C389" i="12"/>
  <c r="C388" i="12"/>
  <c r="C396" i="12"/>
  <c r="B408" i="12" l="1"/>
  <c r="C407" i="12"/>
  <c r="C406" i="12"/>
  <c r="C405" i="12"/>
  <c r="C404" i="12"/>
  <c r="C403"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420" i="12"/>
  <c r="C419" i="12"/>
  <c r="C418" i="12"/>
  <c r="C417" i="12"/>
  <c r="C416" i="12"/>
  <c r="C415" i="12"/>
  <c r="C414" i="12"/>
  <c r="C413" i="12"/>
  <c r="C402" i="12"/>
  <c r="C401" i="12"/>
  <c r="C400" i="12"/>
  <c r="C408" i="12"/>
  <c r="C412" i="12"/>
  <c r="C420" i="12"/>
  <c r="C304" i="10"/>
  <c r="C276" i="10"/>
  <c r="C264" i="10"/>
  <c r="C312" i="10"/>
  <c r="C281" i="10"/>
  <c r="C256" i="10"/>
  <c r="C316" i="10"/>
  <c r="C280" i="10"/>
  <c r="C324" i="10"/>
  <c r="C245" i="10"/>
  <c r="C252" i="10"/>
  <c r="C292" i="10"/>
  <c r="C244" i="10"/>
  <c r="C268" i="10"/>
  <c r="C288" i="10"/>
  <c r="C300" i="10"/>
  <c r="C293" i="10"/>
  <c r="C269" i="10"/>
  <c r="C257" i="10"/>
  <c r="B432" i="12" l="1"/>
  <c r="C431" i="12"/>
  <c r="C430" i="12"/>
  <c r="C429" i="12"/>
  <c r="C428" i="12"/>
  <c r="C427" i="12"/>
  <c r="C426" i="12"/>
  <c r="C425" i="12"/>
  <c r="C424" i="12"/>
  <c r="C432" i="12"/>
  <c r="B444" i="12" l="1"/>
  <c r="C443" i="12"/>
  <c r="C442" i="12"/>
  <c r="C441" i="12"/>
  <c r="C440" i="12"/>
  <c r="C439" i="12"/>
  <c r="C438" i="12"/>
  <c r="C437" i="12"/>
  <c r="C436" i="12"/>
  <c r="C444" i="12"/>
  <c r="B456" i="12" l="1"/>
  <c r="C455" i="12"/>
  <c r="C454" i="12"/>
  <c r="C453" i="12"/>
  <c r="C452" i="12"/>
  <c r="C451" i="12"/>
  <c r="C450" i="12"/>
  <c r="C449" i="12"/>
  <c r="C448" i="12"/>
  <c r="C456" i="12"/>
  <c r="B468" i="12" l="1"/>
  <c r="C467" i="12"/>
  <c r="C466" i="12"/>
  <c r="C465" i="12"/>
  <c r="C464" i="12"/>
  <c r="C463" i="12"/>
  <c r="C462" i="12"/>
  <c r="C460" i="12"/>
  <c r="C461" i="12"/>
  <c r="C468" i="12"/>
  <c r="B480" i="12" l="1"/>
  <c r="C479" i="12"/>
  <c r="C478" i="12"/>
  <c r="C477" i="12"/>
  <c r="C476" i="12"/>
  <c r="C475" i="12"/>
  <c r="C474" i="12"/>
  <c r="B492" i="12"/>
  <c r="C491" i="12"/>
  <c r="C490" i="12"/>
  <c r="C489" i="12"/>
  <c r="C488" i="12"/>
  <c r="C487" i="12"/>
  <c r="B504" i="12"/>
  <c r="C503" i="12"/>
  <c r="C502" i="12"/>
  <c r="C501" i="12"/>
  <c r="C500" i="12"/>
  <c r="C485" i="12"/>
  <c r="C492" i="12"/>
  <c r="C480" i="12"/>
  <c r="C504" i="12"/>
  <c r="C473" i="12"/>
  <c r="C497" i="12"/>
  <c r="C484" i="12"/>
  <c r="C498" i="12"/>
  <c r="C499" i="12"/>
  <c r="C486" i="12"/>
  <c r="C496" i="12"/>
  <c r="C472"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516" i="12" l="1"/>
  <c r="C515" i="12"/>
  <c r="C514" i="12"/>
  <c r="C513" i="12"/>
  <c r="C512" i="12"/>
  <c r="C511" i="12"/>
  <c r="B528" i="12"/>
  <c r="C527" i="12"/>
  <c r="C526" i="12"/>
  <c r="C525" i="12"/>
  <c r="C524" i="12"/>
  <c r="C523" i="12"/>
  <c r="C522" i="12"/>
  <c r="C510" i="12"/>
  <c r="C520" i="12"/>
  <c r="C516" i="12"/>
  <c r="C528" i="12"/>
  <c r="C508" i="12"/>
  <c r="C521" i="12"/>
  <c r="C509" i="12"/>
  <c r="B540" i="12" l="1"/>
  <c r="C539" i="12"/>
  <c r="C538" i="12"/>
  <c r="C537" i="12"/>
  <c r="C536" i="12"/>
  <c r="C535" i="12"/>
  <c r="C534" i="12"/>
  <c r="C532" i="12"/>
  <c r="C533" i="12"/>
  <c r="C540" i="12"/>
  <c r="B552" i="12" l="1"/>
  <c r="C551" i="12"/>
  <c r="C550" i="12"/>
  <c r="C549" i="12"/>
  <c r="C548" i="12"/>
  <c r="C545" i="12"/>
  <c r="C552" i="12"/>
  <c r="C547" i="12"/>
  <c r="C546" i="12"/>
  <c r="C544"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564" i="12" l="1"/>
  <c r="C563" i="12"/>
  <c r="C562" i="12"/>
  <c r="C561" i="12"/>
  <c r="C560" i="12"/>
  <c r="C559" i="12"/>
  <c r="C558" i="12"/>
  <c r="B576" i="12"/>
  <c r="C575" i="12"/>
  <c r="C574" i="12"/>
  <c r="C573" i="12"/>
  <c r="B468" i="10"/>
  <c r="C467" i="10"/>
  <c r="C466" i="10"/>
  <c r="C465" i="10"/>
  <c r="C464" i="10"/>
  <c r="C463" i="10"/>
  <c r="C462" i="10"/>
  <c r="B480" i="10"/>
  <c r="C479" i="10"/>
  <c r="C478" i="10"/>
  <c r="C477" i="10"/>
  <c r="C556" i="12"/>
  <c r="C557" i="12"/>
  <c r="C572" i="12"/>
  <c r="C569" i="12"/>
  <c r="C570" i="12"/>
  <c r="C564" i="12"/>
  <c r="C576" i="12"/>
  <c r="C568" i="12"/>
  <c r="C571"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<sst xmlns="http://schemas.openxmlformats.org/spreadsheetml/2006/main" count="1754" uniqueCount="260">
  <si>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</si>
  <si>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</si>
  <si>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</si>
  <si>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</si>
  <si>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</si>
  <si>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</si>
  <si>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</si>
  <si>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</si>
  <si>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</si>
  <si>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</si>
  <si>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</si>
  <si>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</si>
  <si>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</si>
  <si>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</si>
  <si>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</si>
  <si>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</si>
  <si>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</si>
  <si>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</si>
  <si>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</si>
  <si>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</si>
  <si>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</si>
  <si>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</si>
  <si>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</si>
  <si>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</si>
  <si>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</si>
  <si>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</si>
  <si>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</si>
  <si>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</si>
  <si>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</si>
  <si>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</si>
  <si>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</si>
  <si>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</si>
  <si>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</si>
  <si>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</si>
  <si>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</si>
  <si>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</si>
  <si>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</si>
  <si>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</si>
  <si>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</si>
  <si>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</si>
  <si>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</si>
  <si>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</si>
  <si>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</si>
  <si>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</si>
  <si>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</si>
  <si>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</si>
  <si>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</si>
  <si>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</si>
  <si>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</si>
  <si>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</si>
  <si>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</si>
  <si>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</si>
  <si>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</si>
  <si>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</si>
  <si>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</si>
  <si>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</si>
  <si>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</si>
  <si>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</si>
  <si>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</si>
  <si>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</si>
  <si>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</si>
  <si>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</si>
  <si>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</si>
  <si>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</si>
  <si>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</si>
  <si>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</si>
  <si>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</si>
  <si>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</si>
  <si>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</si>
  <si>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</si>
  <si>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</si>
  <si>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</si>
  <si>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</si>
  <si>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</si>
  <si>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</si>
  <si>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</si>
  <si>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</si>
  <si>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</si>
  <si>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</si>
  <si>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</si>
  <si>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</si>
  <si>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</si>
  <si>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</si>
  <si>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</si>
  <si>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</si>
  <si>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</si>
  <si>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</si>
  <si>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</si>
  <si>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</si>
  <si>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</si>
  <si>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</si>
  <si>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</si>
  <si>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</si>
  <si>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</si>
  <si>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</si>
  <si>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</si>
  <si>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</si>
  <si>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</si>
  <si>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</si>
  <si>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</si>
  <si>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</si>
  <si>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</si>
  <si>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</si>
  <si>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</si>
  <si>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</si>
  <si>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</si>
  <si>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</si>
  <si>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</si>
  <si>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</si>
  <si>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</si>
  <si>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</si>
  <si>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</si>
  <si>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</si>
  <si>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</si>
  <si>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</si>
  <si>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</si>
  <si>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</si>
  <si>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</si>
  <si>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</si>
  <si>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</si>
  <si>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</si>
  <si>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</si>
  <si>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</si>
  <si>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</si>
  <si>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</si>
  <si>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</si>
  <si>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</si>
  <si>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</si>
  <si>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</si>
  <si>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</si>
  <si>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</si>
  <si>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</si>
  <si>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</si>
  <si>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</si>
  <si>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</si>
  <si>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</si>
  <si>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</si>
  <si>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</si>
  <si>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</si>
  <si>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</si>
  <si>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</si>
  <si>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</si>
  <si>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</si>
  <si>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</si>
  <si>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</si>
  <si>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</si>
  <si>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</si>
  <si>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</si>
  <si>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</si>
  <si>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</si>
  <si>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</si>
  <si>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</si>
  <si>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</si>
  <si>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</si>
  <si>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</si>
  <si>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</si>
  <si>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</si>
  <si>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</si>
  <si>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</si>
  <si>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</si>
  <si>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</si>
  <si>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</si>
  <si>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</si>
  <si>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</si>
  <si>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</si>
  <si>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</si>
  <si>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</si>
  <si>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</si>
  <si>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</si>
  <si>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</si>
  <si>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</si>
  <si>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</si>
  <si>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</si>
  <si>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</si>
  <si>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</si>
  <si>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</si>
  <si>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</si>
  <si>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</si>
  <si>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</si>
  <si>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</si>
  <si>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</si>
  <si>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</si>
  <si>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</si>
  <si>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</si>
  <si>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</si>
  <si>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</si>
  <si>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</si>
  <si>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</si>
  <si>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</si>
  <si>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</si>
  <si>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</si>
  <si>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</si>
  <si>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</si>
  <si>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</si>
  <si>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</si>
  <si>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</si>
  <si>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</si>
  <si>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</si>
  <si>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</si>
  <si>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</si>
  <si>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</si>
  <si>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</si>
  <si>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</si>
  <si>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</si>
  <si>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</si>
  <si>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</si>
  <si>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</si>
  <si>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</si>
  <si>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</si>
  <si>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</si>
  <si>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</si>
  <si>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</si>
  <si>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</si>
  <si>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</si>
  <si>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</si>
  <si>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</si>
  <si>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</si>
  <si>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</si>
  <si>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</si>
  <si>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</si>
  <si>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</si>
  <si>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</si>
  <si>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</si>
  <si>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</si>
  <si>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</si>
  <si>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</si>
  <si>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</si>
  <si>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</si>
  <si>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</si>
  <si>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</si>
  <si>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</si>
  <si>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</si>
  <si>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</si>
  <si>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</si>
  <si>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</si>
  <si>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</si>
  <si>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</si>
  <si>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</si>
  <si>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</si>
  <si>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</si>
  <si>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</si>
  <si>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</si>
  <si>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</si>
  <si>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</si>
  <si>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</si>
  <si>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</si>
  <si>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</si>
  <si>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</si>
  <si>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</si>
  <si>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</si>
  <si>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</si>
  <si>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</si>
  <si>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</si>
  <si>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</si>
  <si>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</si>
  <si>
    <t>Adapter le code au changement d'adresse et d'arboressence ainsi que le changement de base de données (changer les liens de confirmation, les données pour se connecter à la base de données, etc…)</t>
  </si>
  <si>
    <t>Commencer a écrire le code pour la suppression des vélos par l'administrateur</t>
  </si>
  <si>
    <t>Ajouter la fonction pour supprimer les vélos depuis la page de résultat et fait en sorte que lorsque l'utilisateur revient sur la page des résultats, la requête qu'il a fait auparavant soit conservée jusqu’à ce que l'utilisateur fasse une requête différente</t>
  </si>
  <si>
    <t>Mise a jou jdtv</t>
  </si>
  <si>
    <t>Continuer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</si>
</sst>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14" t="s">
        <v>29</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19" t="str">
        <f>E96</f>
        <v>130h45min</v>
      </c>
      <c r="H9" s="219"/>
      <c r="I9" s="219"/>
      <c r="J9" s="219"/>
      <c r="K9" s="219"/>
      <c r="L9" s="219"/>
      <c r="M9" s="219"/>
      <c r="N9" s="219"/>
      <c r="O9" s="219"/>
      <c r="P9" s="219"/>
      <c r="Q9" s="219"/>
      <c r="R9" s="219"/>
      <c r="S9" s="219"/>
      <c r="T9" s="219"/>
      <c r="U9" s="219"/>
      <c r="V9" s="118"/>
      <c r="W9" s="218" t="s">
        <v>21</v>
      </c>
      <c r="X9" s="218"/>
      <c r="Y9" s="218"/>
      <c r="Z9" s="218"/>
      <c r="AA9" s="218"/>
      <c r="AB9" s="218"/>
      <c r="AC9" s="218"/>
      <c r="AD9" s="218"/>
      <c r="AE9" s="218"/>
      <c r="AF9" s="218"/>
      <c r="AG9" s="218"/>
      <c r="AH9" s="219" t="str">
        <f>E98</f>
        <v>124h50min</v>
      </c>
      <c r="AI9" s="219"/>
      <c r="AJ9" s="219"/>
      <c r="AK9" s="219"/>
      <c r="AL9" s="219"/>
      <c r="AM9" s="219"/>
      <c r="AN9" s="219"/>
      <c r="AO9" s="219"/>
      <c r="AP9" s="219"/>
      <c r="AQ9" s="219"/>
      <c r="AR9" s="219"/>
      <c r="AS9" s="219"/>
      <c r="AT9" s="219"/>
      <c r="AU9" s="219"/>
      <c r="AV9" s="219"/>
      <c r="AW9" s="21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12"/>
      <c r="D11" s="212"/>
      <c r="E11" s="212"/>
      <c r="F11" s="217" t="s">
        <v>71</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71</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13"/>
      <c r="D12" s="213"/>
      <c r="E12" s="213"/>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9" t="s">
        <v>6</v>
      </c>
      <c r="D13" s="143"/>
      <c r="E13" s="231"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30"/>
      <c r="D14" s="144"/>
      <c r="E14" s="232"/>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09"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1"/>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09"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1"/>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09"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0"/>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09"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0"/>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09"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1"/>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09"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0"/>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09"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0"/>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09"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0"/>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09"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0"/>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09"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0"/>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09"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0"/>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09"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0"/>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09"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0"/>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09"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0"/>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09"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0"/>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09"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0"/>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09"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0"/>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09"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1"/>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09"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0"/>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09"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1"/>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09"/>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0"/>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09"/>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1"/>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09"/>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1"/>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09"/>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0"/>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09"/>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1"/>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09"/>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1"/>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09"/>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0"/>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09"/>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1"/>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09"/>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0"/>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09"/>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1"/>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09"/>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1"/>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09"/>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0"/>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09"/>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1"/>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09"/>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1"/>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09"/>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0"/>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09"/>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1"/>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09"/>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0"/>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09"/>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1"/>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09"/>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1"/>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09"/>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0"/>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21" t="s">
        <v>8</v>
      </c>
      <c r="D95" s="222"/>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23"/>
      <c r="D96" s="224"/>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25" t="s">
        <v>9</v>
      </c>
      <c r="D97" s="226"/>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27"/>
      <c r="D98" s="228"/>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52:F252"/>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35:F135"/>
    <mergeCell ref="E136:F136"/>
    <mergeCell ref="E137:F137"/>
    <mergeCell ref="E138:F138"/>
    <mergeCell ref="E139:F139"/>
    <mergeCell ref="E140:F140"/>
    <mergeCell ref="E141:F141"/>
    <mergeCell ref="E142:F142"/>
    <mergeCell ref="E143:F14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480">
    <cfRule type="cellIs" dxfId="89" priority="40" operator="greaterThan">
      <formula>60</formula>
    </cfRule>
  </conditionalFormatting>
  <conditionalFormatting sqref="B468">
    <cfRule type="cellIs" dxfId="88" priority="39" operator="greaterThan">
      <formula>60</formula>
    </cfRule>
  </conditionalFormatting>
  <conditionalFormatting sqref="B456">
    <cfRule type="cellIs" dxfId="87" priority="38" operator="greaterThan">
      <formula>60</formula>
    </cfRule>
  </conditionalFormatting>
  <conditionalFormatting sqref="B444">
    <cfRule type="cellIs" dxfId="86" priority="37" operator="greaterThan">
      <formula>60</formula>
    </cfRule>
  </conditionalFormatting>
  <conditionalFormatting sqref="B432">
    <cfRule type="cellIs" dxfId="85" priority="36" operator="greaterThan">
      <formula>60</formula>
    </cfRule>
  </conditionalFormatting>
  <conditionalFormatting sqref="B420">
    <cfRule type="cellIs" dxfId="84" priority="35" operator="greaterThan">
      <formula>60</formula>
    </cfRule>
  </conditionalFormatting>
  <conditionalFormatting sqref="B408">
    <cfRule type="cellIs" dxfId="83" priority="34" operator="greaterThan">
      <formula>60</formula>
    </cfRule>
  </conditionalFormatting>
  <conditionalFormatting sqref="B396">
    <cfRule type="cellIs" dxfId="82" priority="33" operator="greaterThan">
      <formula>60</formula>
    </cfRule>
  </conditionalFormatting>
  <conditionalFormatting sqref="B384">
    <cfRule type="cellIs" dxfId="81" priority="32" operator="greaterThan">
      <formula>60</formula>
    </cfRule>
  </conditionalFormatting>
  <conditionalFormatting sqref="B372">
    <cfRule type="cellIs" dxfId="80" priority="31" operator="greaterThan">
      <formula>60</formula>
    </cfRule>
  </conditionalFormatting>
  <conditionalFormatting sqref="B360">
    <cfRule type="cellIs" dxfId="79" priority="30" operator="greaterThan">
      <formula>60</formula>
    </cfRule>
  </conditionalFormatting>
  <conditionalFormatting sqref="B348">
    <cfRule type="cellIs" dxfId="78" priority="29" operator="greaterThan">
      <formula>60</formula>
    </cfRule>
  </conditionalFormatting>
  <conditionalFormatting sqref="B336">
    <cfRule type="cellIs" dxfId="77" priority="28" operator="greaterThan">
      <formula>60</formula>
    </cfRule>
  </conditionalFormatting>
  <conditionalFormatting sqref="B324">
    <cfRule type="cellIs" dxfId="76" priority="27" operator="greaterThan">
      <formula>60</formula>
    </cfRule>
  </conditionalFormatting>
  <conditionalFormatting sqref="B312">
    <cfRule type="cellIs" dxfId="75" priority="26" operator="greaterThan">
      <formula>60</formula>
    </cfRule>
  </conditionalFormatting>
  <conditionalFormatting sqref="B300">
    <cfRule type="cellIs" dxfId="74" priority="25" operator="greaterThan">
      <formula>60</formula>
    </cfRule>
  </conditionalFormatting>
  <conditionalFormatting sqref="B288">
    <cfRule type="cellIs" dxfId="73" priority="24" operator="greaterThan">
      <formula>60</formula>
    </cfRule>
  </conditionalFormatting>
  <conditionalFormatting sqref="B276">
    <cfRule type="cellIs" dxfId="72" priority="23" operator="greaterThan">
      <formula>60</formula>
    </cfRule>
  </conditionalFormatting>
  <conditionalFormatting sqref="B264">
    <cfRule type="cellIs" dxfId="71" priority="22" operator="greaterThan">
      <formula>60</formula>
    </cfRule>
  </conditionalFormatting>
  <conditionalFormatting sqref="B252">
    <cfRule type="cellIs" dxfId="70" priority="21" operator="greaterThan">
      <formula>60</formula>
    </cfRule>
  </conditionalFormatting>
  <conditionalFormatting sqref="B240">
    <cfRule type="cellIs" dxfId="69" priority="20" operator="greaterThan">
      <formula>60</formula>
    </cfRule>
  </conditionalFormatting>
  <conditionalFormatting sqref="B228">
    <cfRule type="cellIs" dxfId="68" priority="19" operator="greaterThan">
      <formula>60</formula>
    </cfRule>
  </conditionalFormatting>
  <conditionalFormatting sqref="B216">
    <cfRule type="cellIs" dxfId="67" priority="18" operator="greaterThan">
      <formula>60</formula>
    </cfRule>
  </conditionalFormatting>
  <conditionalFormatting sqref="B204">
    <cfRule type="cellIs" dxfId="66" priority="17" operator="greaterThan">
      <formula>60</formula>
    </cfRule>
  </conditionalFormatting>
  <conditionalFormatting sqref="B192">
    <cfRule type="cellIs" dxfId="65" priority="16" operator="greaterThan">
      <formula>60</formula>
    </cfRule>
  </conditionalFormatting>
  <conditionalFormatting sqref="B180">
    <cfRule type="cellIs" dxfId="64" priority="15" operator="greaterThan">
      <formula>60</formula>
    </cfRule>
  </conditionalFormatting>
  <conditionalFormatting sqref="B168">
    <cfRule type="cellIs" dxfId="63" priority="14" operator="greaterThan">
      <formula>60</formula>
    </cfRule>
  </conditionalFormatting>
  <conditionalFormatting sqref="B156">
    <cfRule type="cellIs" dxfId="62" priority="13" operator="greaterThan">
      <formula>60</formula>
    </cfRule>
  </conditionalFormatting>
  <conditionalFormatting sqref="B144">
    <cfRule type="cellIs" dxfId="61" priority="12" operator="greaterThan">
      <formula>60</formula>
    </cfRule>
  </conditionalFormatting>
  <conditionalFormatting sqref="B132">
    <cfRule type="cellIs" dxfId="60" priority="11" operator="greaterThan">
      <formula>60</formula>
    </cfRule>
  </conditionalFormatting>
  <conditionalFormatting sqref="B120">
    <cfRule type="cellIs" dxfId="59" priority="10" operator="greaterThan">
      <formula>60</formula>
    </cfRule>
  </conditionalFormatting>
  <conditionalFormatting sqref="B108">
    <cfRule type="cellIs" dxfId="58" priority="9" operator="greaterThan">
      <formula>60</formula>
    </cfRule>
  </conditionalFormatting>
  <conditionalFormatting sqref="B96">
    <cfRule type="cellIs" dxfId="57" priority="8" operator="greaterThan">
      <formula>60</formula>
    </cfRule>
  </conditionalFormatting>
  <conditionalFormatting sqref="B84">
    <cfRule type="cellIs" dxfId="56" priority="7" operator="greaterThan">
      <formula>60</formula>
    </cfRule>
  </conditionalFormatting>
  <conditionalFormatting sqref="B72">
    <cfRule type="cellIs" dxfId="55" priority="6" operator="greaterThan">
      <formula>60</formula>
    </cfRule>
  </conditionalFormatting>
  <conditionalFormatting sqref="B60">
    <cfRule type="cellIs" dxfId="54" priority="5" operator="greaterThan">
      <formula>60</formula>
    </cfRule>
  </conditionalFormatting>
  <conditionalFormatting sqref="B48">
    <cfRule type="cellIs" dxfId="53" priority="4" operator="greaterThan">
      <formula>60</formula>
    </cfRule>
  </conditionalFormatting>
  <conditionalFormatting sqref="B36">
    <cfRule type="cellIs" dxfId="52" priority="3" operator="greaterThan">
      <formula>60</formula>
    </cfRule>
  </conditionalFormatting>
  <conditionalFormatting sqref="B24">
    <cfRule type="cellIs" dxfId="51" priority="2" operator="greaterThan">
      <formula>60</formula>
    </cfRule>
  </conditionalFormatting>
  <conditionalFormatting sqref="B12">
    <cfRule type="cellIs" dxfId="5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577"/>
  <sheetViews>
    <sheetView showGridLines="0" tabSelected="1" zoomScaleNormal="100" zoomScaleSheetLayoutView="98" workbookViewId="0">
      <pane ySplit="1" topLeftCell="A2" activePane="bottomLeft" state="frozen"/>
      <selection pane="bottomLeft" activeCell="E6" sqref="E6:F6"/>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48</v>
      </c>
      <c r="C2" s="163"/>
      <c r="D2" s="156" t="s">
        <v>14</v>
      </c>
      <c r="E2" s="157">
        <v>44277</v>
      </c>
      <c r="F2" s="158" t="s">
        <v>74</v>
      </c>
      <c r="G2" s="45"/>
    </row>
    <row r="3" spans="1:7" s="46" customFormat="1" ht="30" customHeight="1" thickBot="1">
      <c r="A3" s="77" t="s">
        <v>4</v>
      </c>
      <c r="B3" s="160" t="s">
        <v>38</v>
      </c>
      <c r="C3" s="159"/>
      <c r="D3" s="77" t="s">
        <v>12</v>
      </c>
      <c r="E3" s="245" t="s">
        <v>13</v>
      </c>
      <c r="F3" s="246"/>
      <c r="G3" s="45"/>
    </row>
    <row r="4" spans="1:7" s="51" customFormat="1">
      <c r="A4" s="47"/>
      <c r="B4" s="48"/>
      <c r="C4" s="151" t="str">
        <f xml:space="preserve"> IF(B4="","",setValueToTime(B4))</f>
        <v/>
      </c>
      <c r="D4" s="49"/>
      <c r="E4" s="237"/>
      <c r="F4" s="238"/>
      <c r="G4" s="50"/>
    </row>
    <row r="5" spans="1:7" s="51" customFormat="1">
      <c r="A5" s="52"/>
      <c r="B5" s="53"/>
      <c r="C5" s="152" t="str">
        <f t="shared" ref="C5:C11" si="0" xml:space="preserve"> IF(B5="","",setValueToTime(B5))</f>
        <v/>
      </c>
      <c r="D5" s="54"/>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0</v>
      </c>
      <c r="C12" s="161" t="str">
        <f xml:space="preserve"> setValueToTime(B12)</f>
        <v>0h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47</v>
      </c>
      <c r="C14" s="163"/>
      <c r="D14" s="156" t="s">
        <v>14</v>
      </c>
      <c r="E14" s="157">
        <v>44274</v>
      </c>
      <c r="F14" s="158" t="s">
        <v>75</v>
      </c>
      <c r="G14" s="45"/>
    </row>
    <row r="15" spans="1:7" s="46" customFormat="1" ht="30" customHeight="1" thickBot="1">
      <c r="A15" s="77" t="s">
        <v>4</v>
      </c>
      <c r="B15" s="160" t="s">
        <v>38</v>
      </c>
      <c r="C15" s="159"/>
      <c r="D15" s="77" t="s">
        <v>12</v>
      </c>
      <c r="E15" s="245" t="s">
        <v>13</v>
      </c>
      <c r="F15" s="246"/>
      <c r="G15" s="45"/>
    </row>
    <row r="16" spans="1:7" s="51" customFormat="1">
      <c r="A16" s="47" t="s">
        <v>50</v>
      </c>
      <c r="B16" s="48">
        <v>33</v>
      </c>
      <c r="C16" s="151" t="str">
        <f xml:space="preserve"> IF(B16="","",setValueToTime(B16))</f>
        <v>2h45min</v>
      </c>
      <c r="D16" s="165" t="s">
        <v>259</v>
      </c>
      <c r="E16" s="237"/>
      <c r="F16" s="238"/>
      <c r="G16" s="50"/>
    </row>
    <row r="17" spans="1:7" s="51" customFormat="1">
      <c r="A17" s="52" t="s">
        <v>15</v>
      </c>
      <c r="B17" s="53">
        <v>3</v>
      </c>
      <c r="C17" s="152" t="str">
        <f t="shared" ref="C17:C23" si="1" xml:space="preserve"> IF(B17="","",setValueToTime(B17))</f>
        <v>0h15min</v>
      </c>
      <c r="D17" s="166" t="s">
        <v>106</v>
      </c>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61" t="s">
        <v>27</v>
      </c>
      <c r="B24" s="82">
        <f>SUM(B16:B23)</f>
        <v>36</v>
      </c>
      <c r="C24" s="161" t="str">
        <f xml:space="preserve"> setValueToTime(B24)</f>
        <v>3h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46</v>
      </c>
      <c r="C26" s="163"/>
      <c r="D26" s="156" t="s">
        <v>14</v>
      </c>
      <c r="E26" s="157">
        <v>44274</v>
      </c>
      <c r="F26" s="158" t="s">
        <v>74</v>
      </c>
      <c r="G26" s="45"/>
    </row>
    <row r="27" spans="1:7" s="46" customFormat="1" ht="30" customHeight="1" thickBot="1">
      <c r="A27" s="77" t="s">
        <v>4</v>
      </c>
      <c r="B27" s="160" t="s">
        <v>38</v>
      </c>
      <c r="C27" s="159"/>
      <c r="D27" s="77" t="s">
        <v>12</v>
      </c>
      <c r="E27" s="245" t="s">
        <v>13</v>
      </c>
      <c r="F27" s="246"/>
      <c r="G27" s="45"/>
    </row>
    <row r="28" spans="1:7" s="51" customFormat="1">
      <c r="A28" s="47" t="s">
        <v>50</v>
      </c>
      <c r="B28" s="48">
        <v>33</v>
      </c>
      <c r="C28" s="151" t="str">
        <f xml:space="preserve"> IF(B28="","",setValueToTime(B28))</f>
        <v>2h45min</v>
      </c>
      <c r="D28" s="165" t="s">
        <v>226</v>
      </c>
      <c r="E28" s="237"/>
      <c r="F28" s="238"/>
      <c r="G28" s="50"/>
    </row>
    <row r="29" spans="1:7" s="51" customFormat="1">
      <c r="A29" s="52" t="s">
        <v>15</v>
      </c>
      <c r="B29" s="53">
        <v>3</v>
      </c>
      <c r="C29" s="152" t="str">
        <f t="shared" ref="C29:C35" si="2" xml:space="preserve"> IF(B29="","",setValueToTime(B29))</f>
        <v>0h15min</v>
      </c>
      <c r="D29" s="166" t="s">
        <v>258</v>
      </c>
      <c r="E29" s="239"/>
      <c r="F29" s="240"/>
      <c r="G29" s="50"/>
    </row>
    <row r="30" spans="1:7" s="51" customFormat="1">
      <c r="A30" s="52"/>
      <c r="B30" s="53"/>
      <c r="C30" s="152" t="str">
        <f t="shared" si="2"/>
        <v/>
      </c>
      <c r="D30" s="54"/>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61" t="s">
        <v>27</v>
      </c>
      <c r="B36" s="82">
        <f>SUM(B28:B35)</f>
        <v>36</v>
      </c>
      <c r="C36" s="161" t="str">
        <f xml:space="preserve"> setValueToTime(B36)</f>
        <v>3h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45</v>
      </c>
      <c r="C38" s="163"/>
      <c r="D38" s="156" t="s">
        <v>14</v>
      </c>
      <c r="E38" s="157">
        <v>44273</v>
      </c>
      <c r="F38" s="158" t="s">
        <v>75</v>
      </c>
      <c r="G38" s="45"/>
    </row>
    <row r="39" spans="1:7" s="46" customFormat="1" ht="30" customHeight="1" thickBot="1">
      <c r="A39" s="77" t="s">
        <v>4</v>
      </c>
      <c r="B39" s="160" t="s">
        <v>38</v>
      </c>
      <c r="C39" s="159"/>
      <c r="D39" s="77" t="s">
        <v>12</v>
      </c>
      <c r="E39" s="245" t="s">
        <v>13</v>
      </c>
      <c r="F39" s="246"/>
      <c r="G39" s="45"/>
    </row>
    <row r="40" spans="1:7" s="51" customFormat="1" ht="40.5">
      <c r="A40" s="47" t="s">
        <v>117</v>
      </c>
      <c r="B40" s="48">
        <v>33</v>
      </c>
      <c r="C40" s="151" t="str">
        <f xml:space="preserve"> IF(B40="","",setValueToTime(B40))</f>
        <v>2h45min</v>
      </c>
      <c r="D40" s="165" t="s">
        <v>257</v>
      </c>
      <c r="E40" s="237"/>
      <c r="F40" s="238"/>
      <c r="G40" s="50"/>
    </row>
    <row r="41" spans="1:7" s="51" customFormat="1">
      <c r="A41" s="52" t="s">
        <v>15</v>
      </c>
      <c r="B41" s="53">
        <v>3</v>
      </c>
      <c r="C41" s="152" t="str">
        <f t="shared" ref="C41:C47" si="3" xml:space="preserve"> IF(B41="","",setValueToTime(B41))</f>
        <v>0h15min</v>
      </c>
      <c r="D41" s="166" t="s">
        <v>103</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61" t="s">
        <v>27</v>
      </c>
      <c r="B48" s="82">
        <f>SUM(B40:B47)</f>
        <v>36</v>
      </c>
      <c r="C48" s="161" t="str">
        <f xml:space="preserve"> setValueToTime(B48)</f>
        <v>3h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44</v>
      </c>
      <c r="C50" s="163"/>
      <c r="D50" s="156" t="s">
        <v>14</v>
      </c>
      <c r="E50" s="157">
        <v>44273</v>
      </c>
      <c r="F50" s="158" t="s">
        <v>74</v>
      </c>
      <c r="G50" s="45"/>
    </row>
    <row r="51" spans="1:7" s="46" customFormat="1" ht="30" customHeight="1" thickBot="1">
      <c r="A51" s="77" t="s">
        <v>4</v>
      </c>
      <c r="B51" s="160" t="s">
        <v>38</v>
      </c>
      <c r="C51" s="159"/>
      <c r="D51" s="77" t="s">
        <v>12</v>
      </c>
      <c r="E51" s="245" t="s">
        <v>13</v>
      </c>
      <c r="F51" s="246"/>
      <c r="G51" s="45"/>
    </row>
    <row r="52" spans="1:7" s="51" customFormat="1" ht="40.5">
      <c r="A52" s="47" t="s">
        <v>208</v>
      </c>
      <c r="B52" s="48">
        <v>24</v>
      </c>
      <c r="C52" s="151" t="str">
        <f xml:space="preserve"> IF(B52="","",setValueToTime(B52))</f>
        <v>2h</v>
      </c>
      <c r="D52" s="165" t="s">
        <v>255</v>
      </c>
      <c r="E52" s="237"/>
      <c r="F52" s="238"/>
      <c r="G52" s="50"/>
    </row>
    <row r="53" spans="1:7" s="51" customFormat="1">
      <c r="A53" s="52" t="s">
        <v>117</v>
      </c>
      <c r="B53" s="53">
        <v>12</v>
      </c>
      <c r="C53" s="152" t="str">
        <f t="shared" ref="C53:C59" si="4" xml:space="preserve"> IF(B53="","",setValueToTime(B53))</f>
        <v>1h</v>
      </c>
      <c r="D53" s="166" t="s">
        <v>256</v>
      </c>
      <c r="E53" s="239"/>
      <c r="F53" s="240"/>
      <c r="G53" s="50"/>
    </row>
    <row r="54" spans="1:7" s="51" customFormat="1">
      <c r="A54" s="52" t="s">
        <v>50</v>
      </c>
      <c r="B54" s="53">
        <v>9</v>
      </c>
      <c r="C54" s="152" t="str">
        <f t="shared" si="4"/>
        <v>0h45min</v>
      </c>
      <c r="D54" s="166" t="s">
        <v>226</v>
      </c>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27.75" thickBot="1">
      <c r="A60" s="161" t="s">
        <v>27</v>
      </c>
      <c r="B60" s="82">
        <f>SUM(B52:B59)</f>
        <v>45</v>
      </c>
      <c r="C60" s="161" t="str">
        <f xml:space="preserve"> setValueToTime(B60)</f>
        <v>3h45min</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43</v>
      </c>
      <c r="C62" s="163"/>
      <c r="D62" s="156" t="s">
        <v>14</v>
      </c>
      <c r="E62" s="157">
        <v>44272</v>
      </c>
      <c r="F62" s="158" t="s">
        <v>75</v>
      </c>
      <c r="G62" s="45"/>
    </row>
    <row r="63" spans="1:7" s="46" customFormat="1" ht="30" customHeight="1" thickBot="1">
      <c r="A63" s="77" t="s">
        <v>4</v>
      </c>
      <c r="B63" s="160" t="s">
        <v>38</v>
      </c>
      <c r="C63" s="159"/>
      <c r="D63" s="77" t="s">
        <v>12</v>
      </c>
      <c r="E63" s="245" t="s">
        <v>13</v>
      </c>
      <c r="F63" s="246"/>
      <c r="G63" s="45"/>
    </row>
    <row r="64" spans="1:7" s="51" customFormat="1">
      <c r="A64" s="47"/>
      <c r="B64" s="48"/>
      <c r="C64" s="151" t="str">
        <f xml:space="preserve"> IF(B64="","",setValueToTime(B64))</f>
        <v/>
      </c>
      <c r="D64" s="49"/>
      <c r="E64" s="237"/>
      <c r="F64" s="238"/>
      <c r="G64" s="50"/>
    </row>
    <row r="65" spans="1:7" s="51" customFormat="1">
      <c r="A65" s="52"/>
      <c r="B65" s="53"/>
      <c r="C65" s="152" t="str">
        <f t="shared" ref="C65:C71" si="5" xml:space="preserve"> IF(B65="","",setValueToTime(B65))</f>
        <v/>
      </c>
      <c r="D65" s="54"/>
      <c r="E65" s="239"/>
      <c r="F65" s="240"/>
      <c r="G65" s="50"/>
    </row>
    <row r="66" spans="1:7" s="51" customFormat="1">
      <c r="A66" s="52"/>
      <c r="B66" s="53"/>
      <c r="C66" s="152" t="str">
        <f t="shared" si="5"/>
        <v/>
      </c>
      <c r="D66" s="54"/>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61" t="s">
        <v>27</v>
      </c>
      <c r="B72" s="82">
        <f>SUM(B64:B71)</f>
        <v>0</v>
      </c>
      <c r="C72" s="161" t="str">
        <f xml:space="preserve"> setValueToTime(B72)</f>
        <v>0h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42</v>
      </c>
      <c r="C74" s="163"/>
      <c r="D74" s="156" t="s">
        <v>14</v>
      </c>
      <c r="E74" s="157">
        <v>44272</v>
      </c>
      <c r="F74" s="158" t="s">
        <v>74</v>
      </c>
      <c r="G74" s="45"/>
    </row>
    <row r="75" spans="1:7" s="46" customFormat="1" ht="30" customHeight="1" thickBot="1">
      <c r="A75" s="77" t="s">
        <v>4</v>
      </c>
      <c r="B75" s="160" t="s">
        <v>38</v>
      </c>
      <c r="C75" s="159"/>
      <c r="D75" s="77" t="s">
        <v>12</v>
      </c>
      <c r="E75" s="245" t="s">
        <v>13</v>
      </c>
      <c r="F75" s="246"/>
      <c r="G75" s="45"/>
    </row>
    <row r="76" spans="1:7" s="51" customFormat="1">
      <c r="A76" s="47"/>
      <c r="B76" s="48"/>
      <c r="C76" s="151" t="str">
        <f xml:space="preserve"> IF(B76="","",setValueToTime(B76))</f>
        <v/>
      </c>
      <c r="D76" s="49"/>
      <c r="E76" s="237"/>
      <c r="F76" s="238"/>
      <c r="G76" s="50"/>
    </row>
    <row r="77" spans="1:7" s="51" customFormat="1">
      <c r="A77" s="52"/>
      <c r="B77" s="53"/>
      <c r="C77" s="152" t="str">
        <f t="shared" ref="C77:C83" si="6" xml:space="preserve"> IF(B77="","",setValueToTime(B77))</f>
        <v/>
      </c>
      <c r="D77" s="54"/>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61" t="s">
        <v>27</v>
      </c>
      <c r="B84" s="82">
        <f>SUM(B76:B83)</f>
        <v>0</v>
      </c>
      <c r="C84" s="161" t="str">
        <f xml:space="preserve"> setValueToTime(B84)</f>
        <v>0h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41</v>
      </c>
      <c r="C86" s="163"/>
      <c r="D86" s="156" t="s">
        <v>14</v>
      </c>
      <c r="E86" s="157">
        <v>44270</v>
      </c>
      <c r="F86" s="158" t="s">
        <v>74</v>
      </c>
      <c r="G86" s="45"/>
    </row>
    <row r="87" spans="1:7" s="46" customFormat="1" ht="30" customHeight="1" thickBot="1">
      <c r="A87" s="77" t="s">
        <v>4</v>
      </c>
      <c r="B87" s="160" t="s">
        <v>38</v>
      </c>
      <c r="C87" s="159"/>
      <c r="D87" s="77" t="s">
        <v>12</v>
      </c>
      <c r="E87" s="245" t="s">
        <v>13</v>
      </c>
      <c r="F87" s="246"/>
      <c r="G87" s="45"/>
    </row>
    <row r="88" spans="1:7" s="51" customFormat="1">
      <c r="A88" s="47" t="s">
        <v>51</v>
      </c>
      <c r="B88" s="48">
        <v>6</v>
      </c>
      <c r="C88" s="151" t="str">
        <f xml:space="preserve"> IF(B88="","",setValueToTime(B88))</f>
        <v>0h30min</v>
      </c>
      <c r="D88" s="165" t="s">
        <v>253</v>
      </c>
      <c r="E88" s="237"/>
      <c r="F88" s="238"/>
      <c r="G88" s="50"/>
    </row>
    <row r="89" spans="1:7" s="51" customFormat="1">
      <c r="A89" s="52" t="s">
        <v>50</v>
      </c>
      <c r="B89" s="53">
        <v>18</v>
      </c>
      <c r="C89" s="152" t="str">
        <f t="shared" ref="C89:C95" si="7" xml:space="preserve"> IF(B89="","",setValueToTime(B89))</f>
        <v>1h30min</v>
      </c>
      <c r="D89" s="166" t="s">
        <v>226</v>
      </c>
      <c r="E89" s="239"/>
      <c r="F89" s="240"/>
      <c r="G89" s="50"/>
    </row>
    <row r="90" spans="1:7" s="51" customFormat="1">
      <c r="A90" s="52" t="s">
        <v>208</v>
      </c>
      <c r="B90" s="53">
        <v>12</v>
      </c>
      <c r="C90" s="152" t="str">
        <f t="shared" si="7"/>
        <v>1h</v>
      </c>
      <c r="D90" s="166" t="s">
        <v>254</v>
      </c>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40</v>
      </c>
      <c r="C98" s="163"/>
      <c r="D98" s="156" t="s">
        <v>14</v>
      </c>
      <c r="E98" s="157" t="s">
        <v>228</v>
      </c>
      <c r="F98" s="158" t="s">
        <v>75</v>
      </c>
      <c r="G98" s="45"/>
    </row>
    <row r="99" spans="1:7" s="46" customFormat="1" ht="30" customHeight="1" thickBot="1">
      <c r="A99" s="77" t="s">
        <v>4</v>
      </c>
      <c r="B99" s="160" t="s">
        <v>38</v>
      </c>
      <c r="C99" s="159"/>
      <c r="D99" s="77" t="s">
        <v>12</v>
      </c>
      <c r="E99" s="245" t="s">
        <v>13</v>
      </c>
      <c r="F99" s="246"/>
      <c r="G99" s="45"/>
    </row>
    <row r="100" spans="1:7" s="51" customFormat="1">
      <c r="A100" s="47" t="s">
        <v>208</v>
      </c>
      <c r="B100" s="48">
        <v>18</v>
      </c>
      <c r="C100" s="151" t="str">
        <f xml:space="preserve"> IF(B100="","",setValueToTime(B100))</f>
        <v>1h30min</v>
      </c>
      <c r="D100" s="165" t="s">
        <v>229</v>
      </c>
      <c r="E100" s="237"/>
      <c r="F100" s="238"/>
      <c r="G100" s="50"/>
    </row>
    <row r="101" spans="1:7" s="51" customFormat="1">
      <c r="A101" s="52" t="s">
        <v>50</v>
      </c>
      <c r="B101" s="53">
        <v>18</v>
      </c>
      <c r="C101" s="152" t="str">
        <f t="shared" ref="C101" si="8" xml:space="preserve"> IF(B101="","",setValueToTime(B101))</f>
        <v>1h30min</v>
      </c>
      <c r="D101" s="166" t="s">
        <v>252</v>
      </c>
      <c r="E101" s="239"/>
      <c r="F101" s="240"/>
      <c r="G101" s="50"/>
    </row>
    <row r="102" spans="1:7" s="51" customFormat="1">
      <c r="A102" s="52"/>
      <c r="B102" s="53"/>
      <c r="C102" s="152" t="str">
        <f t="shared" ref="C102:C107" si="9" xml:space="preserve"> IF(B102="","",setValueToTime(B102))</f>
        <v/>
      </c>
      <c r="D102" s="54"/>
      <c r="E102" s="239"/>
      <c r="F102" s="240"/>
      <c r="G102" s="50"/>
    </row>
    <row r="103" spans="1:7" s="51" customFormat="1">
      <c r="A103" s="52"/>
      <c r="B103" s="53"/>
      <c r="C103" s="152" t="str">
        <f t="shared" si="9"/>
        <v/>
      </c>
      <c r="D103" s="54"/>
      <c r="E103" s="239"/>
      <c r="F103" s="240"/>
      <c r="G103" s="50"/>
    </row>
    <row r="104" spans="1:7" s="51" customFormat="1">
      <c r="A104" s="53"/>
      <c r="B104" s="53"/>
      <c r="C104" s="153" t="str">
        <f t="shared" si="9"/>
        <v/>
      </c>
      <c r="D104" s="54"/>
      <c r="E104" s="239"/>
      <c r="F104" s="240"/>
      <c r="G104" s="50"/>
    </row>
    <row r="105" spans="1:7" s="51" customFormat="1">
      <c r="A105" s="53"/>
      <c r="B105" s="53"/>
      <c r="C105" s="153" t="str">
        <f t="shared" si="9"/>
        <v/>
      </c>
      <c r="D105" s="54"/>
      <c r="E105" s="239"/>
      <c r="F105" s="240"/>
      <c r="G105" s="50"/>
    </row>
    <row r="106" spans="1:7" s="51" customFormat="1">
      <c r="A106" s="53"/>
      <c r="B106" s="53"/>
      <c r="C106" s="153" t="str">
        <f t="shared" si="9"/>
        <v/>
      </c>
      <c r="D106" s="54"/>
      <c r="E106" s="239"/>
      <c r="F106" s="240"/>
      <c r="G106" s="50"/>
    </row>
    <row r="107" spans="1:7" s="51" customFormat="1" ht="15" thickBot="1">
      <c r="A107" s="55"/>
      <c r="B107" s="55"/>
      <c r="C107" s="154" t="str">
        <f t="shared" si="9"/>
        <v/>
      </c>
      <c r="D107" s="56"/>
      <c r="E107" s="241"/>
      <c r="F107" s="242"/>
      <c r="G107" s="50"/>
    </row>
    <row r="108" spans="1:7" s="51" customFormat="1" ht="15" thickBot="1">
      <c r="A108" s="161" t="s">
        <v>27</v>
      </c>
      <c r="B108" s="82">
        <f>SUM(B100:B107)</f>
        <v>36</v>
      </c>
      <c r="C108" s="161" t="str">
        <f xml:space="preserve"> setValueToTime(B108)</f>
        <v>3h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39</v>
      </c>
      <c r="C110" s="163"/>
      <c r="D110" s="156" t="s">
        <v>14</v>
      </c>
      <c r="E110" s="157" t="s">
        <v>228</v>
      </c>
      <c r="F110" s="158" t="s">
        <v>74</v>
      </c>
      <c r="G110" s="45"/>
    </row>
    <row r="111" spans="1:7" s="46" customFormat="1" ht="30" customHeight="1" thickBot="1">
      <c r="A111" s="77" t="s">
        <v>4</v>
      </c>
      <c r="B111" s="160" t="s">
        <v>38</v>
      </c>
      <c r="C111" s="159"/>
      <c r="D111" s="77" t="s">
        <v>12</v>
      </c>
      <c r="E111" s="245" t="s">
        <v>13</v>
      </c>
      <c r="F111" s="246"/>
      <c r="G111" s="45"/>
    </row>
    <row r="112" spans="1:7" s="51" customFormat="1">
      <c r="A112" s="47" t="s">
        <v>208</v>
      </c>
      <c r="B112" s="48">
        <v>18</v>
      </c>
      <c r="C112" s="151" t="str">
        <f xml:space="preserve"> IF(B112="","",setValueToTime(B112))</f>
        <v>1h30min</v>
      </c>
      <c r="D112" s="165" t="s">
        <v>229</v>
      </c>
      <c r="E112" s="237"/>
      <c r="F112" s="238"/>
      <c r="G112" s="50"/>
    </row>
    <row r="113" spans="1:7" s="51" customFormat="1">
      <c r="A113" s="52" t="s">
        <v>50</v>
      </c>
      <c r="B113" s="53">
        <v>18</v>
      </c>
      <c r="C113" s="152" t="str">
        <f t="shared" ref="C113:C119" si="10" xml:space="preserve"> IF(B113="","",setValueToTime(B113))</f>
        <v>1h30min</v>
      </c>
      <c r="D113" s="166" t="s">
        <v>227</v>
      </c>
      <c r="E113" s="239"/>
      <c r="F113" s="240"/>
      <c r="G113" s="50"/>
    </row>
    <row r="114" spans="1:7" s="51" customFormat="1">
      <c r="A114" s="52"/>
      <c r="B114" s="53"/>
      <c r="C114" s="152" t="str">
        <f t="shared" si="10"/>
        <v/>
      </c>
      <c r="D114" s="54"/>
      <c r="E114" s="239"/>
      <c r="F114" s="240"/>
      <c r="G114" s="50"/>
    </row>
    <row r="115" spans="1:7" s="51" customFormat="1">
      <c r="A115" s="52"/>
      <c r="B115" s="53"/>
      <c r="C115" s="152" t="str">
        <f t="shared" si="10"/>
        <v/>
      </c>
      <c r="D115" s="54"/>
      <c r="E115" s="239"/>
      <c r="F115" s="240"/>
      <c r="G115" s="50"/>
    </row>
    <row r="116" spans="1:7" s="51" customFormat="1">
      <c r="A116" s="53"/>
      <c r="B116" s="53"/>
      <c r="C116" s="153" t="str">
        <f t="shared" si="10"/>
        <v/>
      </c>
      <c r="D116" s="54"/>
      <c r="E116" s="239"/>
      <c r="F116" s="240"/>
      <c r="G116" s="50"/>
    </row>
    <row r="117" spans="1:7" s="51" customFormat="1">
      <c r="A117" s="53"/>
      <c r="B117" s="53"/>
      <c r="C117" s="153" t="str">
        <f t="shared" si="10"/>
        <v/>
      </c>
      <c r="D117" s="54"/>
      <c r="E117" s="239"/>
      <c r="F117" s="240"/>
      <c r="G117" s="50"/>
    </row>
    <row r="118" spans="1:7" s="51" customFormat="1">
      <c r="A118" s="53"/>
      <c r="B118" s="53"/>
      <c r="C118" s="153" t="str">
        <f t="shared" si="10"/>
        <v/>
      </c>
      <c r="D118" s="54"/>
      <c r="E118" s="239"/>
      <c r="F118" s="240"/>
      <c r="G118" s="50"/>
    </row>
    <row r="119" spans="1:7" s="51" customFormat="1" ht="15" thickBot="1">
      <c r="A119" s="55"/>
      <c r="B119" s="55"/>
      <c r="C119" s="154" t="str">
        <f t="shared" si="10"/>
        <v/>
      </c>
      <c r="D119" s="56"/>
      <c r="E119" s="241"/>
      <c r="F119" s="242"/>
      <c r="G119" s="50"/>
    </row>
    <row r="120" spans="1:7" s="51" customFormat="1" ht="15" thickBot="1">
      <c r="A120" s="161" t="s">
        <v>27</v>
      </c>
      <c r="B120" s="82">
        <f>SUM(B112:B119)</f>
        <v>36</v>
      </c>
      <c r="C120" s="161" t="str">
        <f xml:space="preserve"> setValueToTime(B120)</f>
        <v>3h</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38</v>
      </c>
      <c r="C122" s="163"/>
      <c r="D122" s="156" t="s">
        <v>14</v>
      </c>
      <c r="E122" s="157">
        <v>44266</v>
      </c>
      <c r="F122" s="158" t="s">
        <v>75</v>
      </c>
      <c r="G122" s="45"/>
    </row>
    <row r="123" spans="1:7" s="46" customFormat="1" ht="30" customHeight="1" thickBot="1">
      <c r="A123" s="77" t="s">
        <v>4</v>
      </c>
      <c r="B123" s="160" t="s">
        <v>38</v>
      </c>
      <c r="C123" s="159"/>
      <c r="D123" s="77" t="s">
        <v>12</v>
      </c>
      <c r="E123" s="245" t="s">
        <v>13</v>
      </c>
      <c r="F123" s="246"/>
      <c r="G123" s="45"/>
    </row>
    <row r="124" spans="1:7" s="51" customFormat="1">
      <c r="A124" s="47" t="s">
        <v>50</v>
      </c>
      <c r="B124" s="48">
        <v>33</v>
      </c>
      <c r="C124" s="151" t="str">
        <f xml:space="preserve"> IF(B124="","",setValueToTime(B124))</f>
        <v>2h45min</v>
      </c>
      <c r="D124" s="165" t="s">
        <v>223</v>
      </c>
      <c r="E124" s="237"/>
      <c r="F124" s="238"/>
      <c r="G124" s="50"/>
    </row>
    <row r="125" spans="1:7" s="51" customFormat="1">
      <c r="A125" s="52" t="s">
        <v>15</v>
      </c>
      <c r="B125" s="53">
        <v>3</v>
      </c>
      <c r="C125" s="152" t="str">
        <f t="shared" ref="C125:C131" si="11" xml:space="preserve"> IF(B125="","",setValueToTime(B125))</f>
        <v>0h15min</v>
      </c>
      <c r="D125" s="166" t="s">
        <v>106</v>
      </c>
      <c r="E125" s="239"/>
      <c r="F125" s="240"/>
      <c r="G125" s="50"/>
    </row>
    <row r="126" spans="1:7" s="51" customFormat="1">
      <c r="A126" s="52"/>
      <c r="B126" s="53"/>
      <c r="C126" s="152" t="str">
        <f t="shared" si="11"/>
        <v/>
      </c>
      <c r="D126" s="54"/>
      <c r="E126" s="239"/>
      <c r="F126" s="240"/>
      <c r="G126" s="50"/>
    </row>
    <row r="127" spans="1:7" s="51" customFormat="1">
      <c r="A127" s="52"/>
      <c r="B127" s="53"/>
      <c r="C127" s="152" t="str">
        <f t="shared" si="11"/>
        <v/>
      </c>
      <c r="D127" s="54"/>
      <c r="E127" s="239"/>
      <c r="F127" s="240"/>
      <c r="G127" s="50"/>
    </row>
    <row r="128" spans="1:7" s="51" customFormat="1">
      <c r="A128" s="53"/>
      <c r="B128" s="53"/>
      <c r="C128" s="153" t="str">
        <f t="shared" si="11"/>
        <v/>
      </c>
      <c r="D128" s="54"/>
      <c r="E128" s="239"/>
      <c r="F128" s="240"/>
      <c r="G128" s="50"/>
    </row>
    <row r="129" spans="1:7" s="51" customFormat="1">
      <c r="A129" s="53"/>
      <c r="B129" s="53"/>
      <c r="C129" s="153" t="str">
        <f t="shared" si="11"/>
        <v/>
      </c>
      <c r="D129" s="54"/>
      <c r="E129" s="239"/>
      <c r="F129" s="240"/>
      <c r="G129" s="50"/>
    </row>
    <row r="130" spans="1:7" s="51" customFormat="1">
      <c r="A130" s="53"/>
      <c r="B130" s="53"/>
      <c r="C130" s="153" t="str">
        <f t="shared" si="11"/>
        <v/>
      </c>
      <c r="D130" s="54"/>
      <c r="E130" s="239"/>
      <c r="F130" s="240"/>
      <c r="G130" s="50"/>
    </row>
    <row r="131" spans="1:7" s="51" customFormat="1" ht="15" thickBot="1">
      <c r="A131" s="55"/>
      <c r="B131" s="55"/>
      <c r="C131" s="154" t="str">
        <f t="shared" si="11"/>
        <v/>
      </c>
      <c r="D131" s="56"/>
      <c r="E131" s="241"/>
      <c r="F131" s="242"/>
      <c r="G131" s="50"/>
    </row>
    <row r="132" spans="1:7" s="51" customFormat="1" ht="15" thickBot="1">
      <c r="A132" s="161" t="s">
        <v>27</v>
      </c>
      <c r="B132" s="82">
        <f>SUM(B124:B131)</f>
        <v>36</v>
      </c>
      <c r="C132" s="161" t="str">
        <f xml:space="preserve"> setValueToTime(B132)</f>
        <v>3h</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37</v>
      </c>
      <c r="C134" s="163"/>
      <c r="D134" s="156" t="s">
        <v>14</v>
      </c>
      <c r="E134" s="157">
        <v>44266</v>
      </c>
      <c r="F134" s="158" t="s">
        <v>74</v>
      </c>
      <c r="G134" s="45"/>
    </row>
    <row r="135" spans="1:7" s="46" customFormat="1" ht="30" customHeight="1" thickBot="1">
      <c r="A135" s="77" t="s">
        <v>4</v>
      </c>
      <c r="B135" s="160" t="s">
        <v>38</v>
      </c>
      <c r="C135" s="159"/>
      <c r="D135" s="77" t="s">
        <v>12</v>
      </c>
      <c r="E135" s="245" t="s">
        <v>13</v>
      </c>
      <c r="F135" s="246"/>
      <c r="G135" s="45"/>
    </row>
    <row r="136" spans="1:7" s="51" customFormat="1" ht="27">
      <c r="A136" s="47" t="s">
        <v>208</v>
      </c>
      <c r="B136" s="48">
        <v>24</v>
      </c>
      <c r="C136" s="151" t="str">
        <f xml:space="preserve"> IF(B136="","",setValueToTime(B136))</f>
        <v>2h</v>
      </c>
      <c r="D136" s="165" t="s">
        <v>221</v>
      </c>
      <c r="E136" s="237"/>
      <c r="F136" s="238"/>
      <c r="G136" s="50"/>
    </row>
    <row r="137" spans="1:7" s="51" customFormat="1">
      <c r="A137" s="52" t="s">
        <v>50</v>
      </c>
      <c r="B137" s="53">
        <v>21</v>
      </c>
      <c r="C137" s="152" t="str">
        <f t="shared" ref="C137:C143" si="12" xml:space="preserve"> IF(B137="","",setValueToTime(B137))</f>
        <v>1h45min</v>
      </c>
      <c r="D137" s="166" t="s">
        <v>222</v>
      </c>
      <c r="E137" s="239"/>
      <c r="F137" s="240"/>
      <c r="G137" s="50"/>
    </row>
    <row r="138" spans="1:7" s="51" customFormat="1">
      <c r="A138" s="52"/>
      <c r="B138" s="53"/>
      <c r="C138" s="152" t="str">
        <f t="shared" si="12"/>
        <v/>
      </c>
      <c r="D138" s="54"/>
      <c r="E138" s="239"/>
      <c r="F138" s="240"/>
      <c r="G138" s="50"/>
    </row>
    <row r="139" spans="1:7" s="51" customFormat="1">
      <c r="A139" s="52"/>
      <c r="B139" s="53"/>
      <c r="C139" s="152" t="str">
        <f t="shared" si="12"/>
        <v/>
      </c>
      <c r="D139" s="54"/>
      <c r="E139" s="239"/>
      <c r="F139" s="240"/>
      <c r="G139" s="50"/>
    </row>
    <row r="140" spans="1:7" s="51" customFormat="1">
      <c r="A140" s="53"/>
      <c r="B140" s="53"/>
      <c r="C140" s="153" t="str">
        <f t="shared" si="12"/>
        <v/>
      </c>
      <c r="D140" s="54"/>
      <c r="E140" s="239"/>
      <c r="F140" s="240"/>
      <c r="G140" s="50"/>
    </row>
    <row r="141" spans="1:7" s="51" customFormat="1">
      <c r="A141" s="53"/>
      <c r="B141" s="53"/>
      <c r="C141" s="153" t="str">
        <f t="shared" si="12"/>
        <v/>
      </c>
      <c r="D141" s="54"/>
      <c r="E141" s="239"/>
      <c r="F141" s="240"/>
      <c r="G141" s="50"/>
    </row>
    <row r="142" spans="1:7" s="51" customFormat="1">
      <c r="A142" s="53"/>
      <c r="B142" s="53"/>
      <c r="C142" s="153" t="str">
        <f t="shared" si="12"/>
        <v/>
      </c>
      <c r="D142" s="54"/>
      <c r="E142" s="239"/>
      <c r="F142" s="240"/>
      <c r="G142" s="50"/>
    </row>
    <row r="143" spans="1:7" s="51" customFormat="1" ht="15" thickBot="1">
      <c r="A143" s="55"/>
      <c r="B143" s="55"/>
      <c r="C143" s="154" t="str">
        <f t="shared" si="12"/>
        <v/>
      </c>
      <c r="D143" s="56"/>
      <c r="E143" s="241"/>
      <c r="F143" s="242"/>
      <c r="G143" s="50"/>
    </row>
    <row r="144" spans="1:7" s="51" customFormat="1" ht="27.75" thickBot="1">
      <c r="A144" s="161" t="s">
        <v>27</v>
      </c>
      <c r="B144" s="82">
        <f>SUM(B136:B143)</f>
        <v>45</v>
      </c>
      <c r="C144" s="161" t="str">
        <f xml:space="preserve"> setValueToTime(B144)</f>
        <v>3h45min</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36</v>
      </c>
      <c r="C146" s="163"/>
      <c r="D146" s="156" t="s">
        <v>14</v>
      </c>
      <c r="E146" s="157">
        <v>44265</v>
      </c>
      <c r="F146" s="158" t="s">
        <v>75</v>
      </c>
      <c r="G146" s="45"/>
    </row>
    <row r="147" spans="1:7" s="46" customFormat="1" ht="30" customHeight="1" thickBot="1">
      <c r="A147" s="77" t="s">
        <v>4</v>
      </c>
      <c r="B147" s="160" t="s">
        <v>38</v>
      </c>
      <c r="C147" s="159"/>
      <c r="D147" s="77" t="s">
        <v>12</v>
      </c>
      <c r="E147" s="245" t="s">
        <v>13</v>
      </c>
      <c r="F147" s="246"/>
      <c r="G147" s="45"/>
    </row>
    <row r="148" spans="1:7" s="51" customFormat="1" ht="27">
      <c r="A148" s="47" t="s">
        <v>208</v>
      </c>
      <c r="B148" s="48">
        <v>33</v>
      </c>
      <c r="C148" s="151" t="str">
        <f xml:space="preserve"> IF(B148="","",setValueToTime(B148))</f>
        <v>2h45min</v>
      </c>
      <c r="D148" s="165" t="s">
        <v>219</v>
      </c>
      <c r="E148" s="237"/>
      <c r="F148" s="238"/>
      <c r="G148" s="50"/>
    </row>
    <row r="149" spans="1:7" s="51" customFormat="1">
      <c r="A149" s="52" t="s">
        <v>15</v>
      </c>
      <c r="B149" s="53">
        <v>3</v>
      </c>
      <c r="C149" s="152" t="str">
        <f t="shared" ref="C149:C155" si="13" xml:space="preserve"> IF(B149="","",setValueToTime(B149))</f>
        <v>0h15min</v>
      </c>
      <c r="D149" s="166" t="s">
        <v>106</v>
      </c>
      <c r="E149" s="239"/>
      <c r="F149" s="240"/>
      <c r="G149" s="50"/>
    </row>
    <row r="150" spans="1:7" s="51" customFormat="1">
      <c r="A150" s="52"/>
      <c r="B150" s="53"/>
      <c r="C150" s="152" t="str">
        <f t="shared" si="13"/>
        <v/>
      </c>
      <c r="D150" s="54"/>
      <c r="E150" s="239"/>
      <c r="F150" s="240"/>
      <c r="G150" s="50"/>
    </row>
    <row r="151" spans="1:7" s="51" customFormat="1">
      <c r="A151" s="52"/>
      <c r="B151" s="53"/>
      <c r="C151" s="152" t="str">
        <f t="shared" si="13"/>
        <v/>
      </c>
      <c r="D151" s="54"/>
      <c r="E151" s="239"/>
      <c r="F151" s="240"/>
      <c r="G151" s="50"/>
    </row>
    <row r="152" spans="1:7" s="51" customFormat="1">
      <c r="A152" s="53"/>
      <c r="B152" s="53"/>
      <c r="C152" s="153" t="str">
        <f t="shared" si="13"/>
        <v/>
      </c>
      <c r="D152" s="54"/>
      <c r="E152" s="239"/>
      <c r="F152" s="240"/>
      <c r="G152" s="50"/>
    </row>
    <row r="153" spans="1:7" s="51" customFormat="1">
      <c r="A153" s="53"/>
      <c r="B153" s="53"/>
      <c r="C153" s="153" t="str">
        <f t="shared" si="13"/>
        <v/>
      </c>
      <c r="D153" s="54"/>
      <c r="E153" s="239"/>
      <c r="F153" s="240"/>
      <c r="G153" s="50"/>
    </row>
    <row r="154" spans="1:7" s="51" customFormat="1">
      <c r="A154" s="53"/>
      <c r="B154" s="53"/>
      <c r="C154" s="153" t="str">
        <f t="shared" si="13"/>
        <v/>
      </c>
      <c r="D154" s="54"/>
      <c r="E154" s="239"/>
      <c r="F154" s="240"/>
      <c r="G154" s="50"/>
    </row>
    <row r="155" spans="1:7" s="51" customFormat="1" ht="15" thickBot="1">
      <c r="A155" s="55"/>
      <c r="B155" s="55"/>
      <c r="C155" s="154" t="str">
        <f t="shared" si="13"/>
        <v/>
      </c>
      <c r="D155" s="56"/>
      <c r="E155" s="241"/>
      <c r="F155" s="242"/>
      <c r="G155" s="50"/>
    </row>
    <row r="156" spans="1:7" s="51" customFormat="1" ht="15" thickBot="1">
      <c r="A156" s="161" t="s">
        <v>27</v>
      </c>
      <c r="B156" s="82">
        <f>SUM(B148:B155)</f>
        <v>36</v>
      </c>
      <c r="C156" s="161" t="str">
        <f xml:space="preserve"> setValueToTime(B156)</f>
        <v>3h</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35</v>
      </c>
      <c r="C158" s="163"/>
      <c r="D158" s="156" t="s">
        <v>14</v>
      </c>
      <c r="E158" s="157" t="s">
        <v>217</v>
      </c>
      <c r="F158" s="158" t="s">
        <v>74</v>
      </c>
      <c r="G158" s="45"/>
    </row>
    <row r="159" spans="1:7" s="46" customFormat="1" ht="30" customHeight="1" thickBot="1">
      <c r="A159" s="77" t="s">
        <v>4</v>
      </c>
      <c r="B159" s="160" t="s">
        <v>38</v>
      </c>
      <c r="C159" s="159"/>
      <c r="D159" s="77" t="s">
        <v>12</v>
      </c>
      <c r="E159" s="245" t="s">
        <v>13</v>
      </c>
      <c r="F159" s="246"/>
      <c r="G159" s="45"/>
    </row>
    <row r="160" spans="1:7" s="51" customFormat="1" ht="40.5">
      <c r="A160" s="47" t="s">
        <v>208</v>
      </c>
      <c r="B160" s="48">
        <v>42</v>
      </c>
      <c r="C160" s="151" t="str">
        <f xml:space="preserve"> IF(B160="","",setValueToTime(B160))</f>
        <v>3h30min</v>
      </c>
      <c r="D160" s="165" t="s">
        <v>218</v>
      </c>
      <c r="E160" s="237"/>
      <c r="F160" s="238"/>
      <c r="G160" s="50"/>
    </row>
    <row r="161" spans="1:7" s="51" customFormat="1">
      <c r="A161" s="52" t="s">
        <v>15</v>
      </c>
      <c r="B161" s="53">
        <v>3</v>
      </c>
      <c r="C161" s="152" t="str">
        <f t="shared" ref="C161:C167" si="14" xml:space="preserve"> IF(B161="","",setValueToTime(B161))</f>
        <v>0h15min</v>
      </c>
      <c r="D161" s="166" t="s">
        <v>106</v>
      </c>
      <c r="E161" s="239"/>
      <c r="F161" s="240"/>
      <c r="G161" s="50"/>
    </row>
    <row r="162" spans="1:7" s="51" customFormat="1">
      <c r="A162" s="52"/>
      <c r="B162" s="53"/>
      <c r="C162" s="152" t="str">
        <f t="shared" si="14"/>
        <v/>
      </c>
      <c r="D162" s="54"/>
      <c r="E162" s="239"/>
      <c r="F162" s="240"/>
      <c r="G162" s="50"/>
    </row>
    <row r="163" spans="1:7" s="51" customFormat="1">
      <c r="A163" s="52"/>
      <c r="B163" s="53"/>
      <c r="C163" s="152" t="str">
        <f t="shared" si="14"/>
        <v/>
      </c>
      <c r="D163" s="54"/>
      <c r="E163" s="239"/>
      <c r="F163" s="240"/>
      <c r="G163" s="50"/>
    </row>
    <row r="164" spans="1:7" s="51" customFormat="1">
      <c r="A164" s="53"/>
      <c r="B164" s="53"/>
      <c r="C164" s="153" t="str">
        <f t="shared" si="14"/>
        <v/>
      </c>
      <c r="D164" s="54"/>
      <c r="E164" s="239"/>
      <c r="F164" s="240"/>
      <c r="G164" s="50"/>
    </row>
    <row r="165" spans="1:7" s="51" customFormat="1">
      <c r="A165" s="53"/>
      <c r="B165" s="53"/>
      <c r="C165" s="153" t="str">
        <f t="shared" si="14"/>
        <v/>
      </c>
      <c r="D165" s="54"/>
      <c r="E165" s="239"/>
      <c r="F165" s="240"/>
      <c r="G165" s="50"/>
    </row>
    <row r="166" spans="1:7" s="51" customFormat="1">
      <c r="A166" s="53"/>
      <c r="B166" s="53"/>
      <c r="C166" s="153" t="str">
        <f t="shared" si="14"/>
        <v/>
      </c>
      <c r="D166" s="54"/>
      <c r="E166" s="239"/>
      <c r="F166" s="240"/>
      <c r="G166" s="50"/>
    </row>
    <row r="167" spans="1:7" s="51" customFormat="1" ht="15" thickBot="1">
      <c r="A167" s="55"/>
      <c r="B167" s="55"/>
      <c r="C167" s="154" t="str">
        <f t="shared" si="14"/>
        <v/>
      </c>
      <c r="D167" s="56"/>
      <c r="E167" s="241"/>
      <c r="F167" s="242"/>
      <c r="G167" s="50"/>
    </row>
    <row r="168" spans="1:7" s="51" customFormat="1" ht="27.75" thickBot="1">
      <c r="A168" s="161" t="s">
        <v>27</v>
      </c>
      <c r="B168" s="82">
        <f>SUM(B160:B167)</f>
        <v>45</v>
      </c>
      <c r="C168" s="161" t="str">
        <f xml:space="preserve"> setValueToTime(B168)</f>
        <v>3h45min</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34</v>
      </c>
      <c r="C170" s="163"/>
      <c r="D170" s="156" t="s">
        <v>14</v>
      </c>
      <c r="E170" s="157" t="s">
        <v>215</v>
      </c>
      <c r="F170" s="158" t="s">
        <v>74</v>
      </c>
      <c r="G170" s="45"/>
    </row>
    <row r="171" spans="1:7" s="46" customFormat="1" ht="30" customHeight="1" thickBot="1">
      <c r="A171" s="77" t="s">
        <v>4</v>
      </c>
      <c r="B171" s="160" t="s">
        <v>38</v>
      </c>
      <c r="C171" s="159"/>
      <c r="D171" s="77" t="s">
        <v>12</v>
      </c>
      <c r="E171" s="245" t="s">
        <v>13</v>
      </c>
      <c r="F171" s="246"/>
      <c r="G171" s="45"/>
    </row>
    <row r="172" spans="1:7" s="51" customFormat="1">
      <c r="A172" s="47" t="s">
        <v>208</v>
      </c>
      <c r="B172" s="48">
        <v>33</v>
      </c>
      <c r="C172" s="151" t="str">
        <f xml:space="preserve"> IF(B172="","",setValueToTime(B172))</f>
        <v>2h45min</v>
      </c>
      <c r="D172" s="165" t="s">
        <v>216</v>
      </c>
      <c r="E172" s="237"/>
      <c r="F172" s="238"/>
      <c r="G172" s="50"/>
    </row>
    <row r="173" spans="1:7" s="51" customFormat="1">
      <c r="A173" s="52" t="s">
        <v>15</v>
      </c>
      <c r="B173" s="53">
        <v>3</v>
      </c>
      <c r="C173" s="152" t="str">
        <f t="shared" ref="C173:C179" si="15" xml:space="preserve"> IF(B173="","",setValueToTime(B173))</f>
        <v>0h15min</v>
      </c>
      <c r="D173" s="166" t="s">
        <v>106</v>
      </c>
      <c r="E173" s="239"/>
      <c r="F173" s="240"/>
      <c r="G173" s="50"/>
    </row>
    <row r="174" spans="1:7" s="51" customFormat="1">
      <c r="A174" s="52"/>
      <c r="B174" s="53"/>
      <c r="C174" s="152" t="str">
        <f t="shared" si="15"/>
        <v/>
      </c>
      <c r="D174" s="54"/>
      <c r="E174" s="239"/>
      <c r="F174" s="240"/>
      <c r="G174" s="50"/>
    </row>
    <row r="175" spans="1:7" s="51" customFormat="1">
      <c r="A175" s="52"/>
      <c r="B175" s="53"/>
      <c r="C175" s="152" t="str">
        <f t="shared" si="15"/>
        <v/>
      </c>
      <c r="D175" s="54"/>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15" thickBot="1">
      <c r="A180" s="161" t="s">
        <v>27</v>
      </c>
      <c r="B180" s="82">
        <f>SUM(B172:B179)</f>
        <v>36</v>
      </c>
      <c r="C180" s="161" t="str">
        <f xml:space="preserve"> setValueToTime(B180)</f>
        <v>3h</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33</v>
      </c>
      <c r="C182" s="163"/>
      <c r="D182" s="156" t="s">
        <v>14</v>
      </c>
      <c r="E182" s="157" t="s">
        <v>206</v>
      </c>
      <c r="F182" s="158" t="s">
        <v>75</v>
      </c>
      <c r="G182" s="45"/>
    </row>
    <row r="183" spans="1:7" s="46" customFormat="1" ht="30" customHeight="1" thickBot="1">
      <c r="A183" s="77" t="s">
        <v>4</v>
      </c>
      <c r="B183" s="160" t="s">
        <v>38</v>
      </c>
      <c r="C183" s="159"/>
      <c r="D183" s="77" t="s">
        <v>12</v>
      </c>
      <c r="E183" s="245" t="s">
        <v>13</v>
      </c>
      <c r="F183" s="246"/>
      <c r="G183" s="45"/>
    </row>
    <row r="184" spans="1:7" s="51" customFormat="1" ht="27">
      <c r="A184" s="47" t="s">
        <v>209</v>
      </c>
      <c r="B184" s="48">
        <v>12</v>
      </c>
      <c r="C184" s="151" t="str">
        <f xml:space="preserve"> IF(B184="","",setValueToTime(B184))</f>
        <v>1h</v>
      </c>
      <c r="D184" s="165" t="s">
        <v>210</v>
      </c>
      <c r="E184" s="237"/>
      <c r="F184" s="238"/>
      <c r="G184" s="50"/>
    </row>
    <row r="185" spans="1:7" s="51" customFormat="1" ht="54">
      <c r="A185" s="52" t="s">
        <v>208</v>
      </c>
      <c r="B185" s="53">
        <v>21</v>
      </c>
      <c r="C185" s="152" t="str">
        <f t="shared" ref="C185:C191" si="16" xml:space="preserve"> IF(B185="","",setValueToTime(B185))</f>
        <v>1h45min</v>
      </c>
      <c r="D185" s="166" t="s">
        <v>211</v>
      </c>
      <c r="E185" s="239"/>
      <c r="F185" s="240"/>
      <c r="G185" s="50"/>
    </row>
    <row r="186" spans="1:7" s="51" customFormat="1">
      <c r="A186" s="52" t="s">
        <v>15</v>
      </c>
      <c r="B186" s="53">
        <v>3</v>
      </c>
      <c r="C186" s="152" t="str">
        <f t="shared" si="16"/>
        <v>0h15min</v>
      </c>
      <c r="D186" s="166" t="s">
        <v>106</v>
      </c>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15" thickBot="1">
      <c r="A192" s="161" t="s">
        <v>27</v>
      </c>
      <c r="B192" s="82">
        <f>SUM(B184:B191)</f>
        <v>36</v>
      </c>
      <c r="C192" s="161" t="str">
        <f xml:space="preserve"> setValueToTime(B192)</f>
        <v>3h</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32</v>
      </c>
      <c r="C194" s="163"/>
      <c r="D194" s="156" t="s">
        <v>14</v>
      </c>
      <c r="E194" s="157" t="s">
        <v>206</v>
      </c>
      <c r="F194" s="158" t="s">
        <v>74</v>
      </c>
      <c r="G194" s="45"/>
    </row>
    <row r="195" spans="1:7" s="46" customFormat="1" ht="30" customHeight="1" thickBot="1">
      <c r="A195" s="77" t="s">
        <v>4</v>
      </c>
      <c r="B195" s="160" t="s">
        <v>38</v>
      </c>
      <c r="C195" s="159"/>
      <c r="D195" s="77" t="s">
        <v>12</v>
      </c>
      <c r="E195" s="245" t="s">
        <v>13</v>
      </c>
      <c r="F195" s="246"/>
      <c r="G195" s="45"/>
    </row>
    <row r="196" spans="1:7" s="51" customFormat="1" ht="67.5">
      <c r="A196" s="47" t="s">
        <v>66</v>
      </c>
      <c r="B196" s="48">
        <v>33</v>
      </c>
      <c r="C196" s="151" t="str">
        <f xml:space="preserve"> IF(B196="","",setValueToTime(B196))</f>
        <v>2h45min</v>
      </c>
      <c r="D196" s="165" t="s">
        <v>207</v>
      </c>
      <c r="E196" s="237"/>
      <c r="F196" s="238"/>
      <c r="G196" s="50"/>
    </row>
    <row r="197" spans="1:7" s="51" customFormat="1">
      <c r="A197" s="52" t="s">
        <v>15</v>
      </c>
      <c r="B197" s="53">
        <v>3</v>
      </c>
      <c r="C197" s="152" t="str">
        <f t="shared" ref="C197:C203" si="17" xml:space="preserve"> IF(B197="","",setValueToTime(B197))</f>
        <v>0h15min</v>
      </c>
      <c r="D197" s="166" t="s">
        <v>106</v>
      </c>
      <c r="E197" s="239"/>
      <c r="F197" s="240"/>
      <c r="G197" s="50"/>
    </row>
    <row r="198" spans="1:7" s="51" customFormat="1">
      <c r="A198" s="52"/>
      <c r="B198" s="53"/>
      <c r="C198" s="152" t="str">
        <f t="shared" si="17"/>
        <v/>
      </c>
      <c r="D198" s="54"/>
      <c r="E198" s="239"/>
      <c r="F198" s="240"/>
      <c r="G198" s="50"/>
    </row>
    <row r="199" spans="1:7" s="51" customFormat="1">
      <c r="A199" s="52"/>
      <c r="B199" s="53"/>
      <c r="C199" s="152" t="str">
        <f t="shared" si="17"/>
        <v/>
      </c>
      <c r="D199" s="54"/>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15" thickBot="1">
      <c r="A204" s="161" t="s">
        <v>27</v>
      </c>
      <c r="B204" s="82">
        <f>SUM(B196:B203)</f>
        <v>36</v>
      </c>
      <c r="C204" s="161" t="str">
        <f xml:space="preserve"> setValueToTime(B204)</f>
        <v>3h</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31</v>
      </c>
      <c r="C206" s="163"/>
      <c r="D206" s="156" t="s">
        <v>14</v>
      </c>
      <c r="E206" s="157" t="s">
        <v>199</v>
      </c>
      <c r="F206" s="158" t="s">
        <v>75</v>
      </c>
      <c r="G206" s="45"/>
    </row>
    <row r="207" spans="1:7" s="46" customFormat="1" ht="30" customHeight="1" thickBot="1">
      <c r="A207" s="77" t="s">
        <v>4</v>
      </c>
      <c r="B207" s="160" t="s">
        <v>38</v>
      </c>
      <c r="C207" s="159"/>
      <c r="D207" s="77" t="s">
        <v>12</v>
      </c>
      <c r="E207" s="245" t="s">
        <v>13</v>
      </c>
      <c r="F207" s="246"/>
      <c r="G207" s="45"/>
    </row>
    <row r="208" spans="1:7" s="51" customFormat="1">
      <c r="A208" s="47" t="s">
        <v>63</v>
      </c>
      <c r="B208" s="48">
        <v>12</v>
      </c>
      <c r="C208" s="151" t="str">
        <f xml:space="preserve"> IF(B208="","",setValueToTime(B208))</f>
        <v>1h</v>
      </c>
      <c r="D208" s="165" t="s">
        <v>201</v>
      </c>
      <c r="E208" s="237"/>
      <c r="F208" s="238"/>
      <c r="G208" s="50"/>
    </row>
    <row r="209" spans="1:7" s="51" customFormat="1" ht="40.5">
      <c r="A209" s="52" t="s">
        <v>58</v>
      </c>
      <c r="B209" s="53">
        <v>12</v>
      </c>
      <c r="C209" s="152" t="str">
        <f t="shared" ref="C209:C215" si="18" xml:space="preserve"> IF(B209="","",setValueToTime(B209))</f>
        <v>1h</v>
      </c>
      <c r="D209" s="166" t="s">
        <v>202</v>
      </c>
      <c r="E209" s="239"/>
      <c r="F209" s="240"/>
      <c r="G209" s="50"/>
    </row>
    <row r="210" spans="1:7" s="51" customFormat="1">
      <c r="A210" s="52" t="s">
        <v>60</v>
      </c>
      <c r="B210" s="53">
        <v>9</v>
      </c>
      <c r="C210" s="152" t="str">
        <f t="shared" si="18"/>
        <v>0h45min</v>
      </c>
      <c r="D210" s="166" t="s">
        <v>203</v>
      </c>
      <c r="E210" s="239"/>
      <c r="F210" s="240"/>
      <c r="G210" s="50"/>
    </row>
    <row r="211" spans="1:7" s="51" customFormat="1">
      <c r="A211" s="52" t="s">
        <v>15</v>
      </c>
      <c r="B211" s="53">
        <v>3</v>
      </c>
      <c r="C211" s="152" t="str">
        <f t="shared" si="18"/>
        <v>0h15min</v>
      </c>
      <c r="D211" s="166" t="s">
        <v>106</v>
      </c>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15" thickBot="1">
      <c r="A216" s="161" t="s">
        <v>27</v>
      </c>
      <c r="B216" s="82">
        <f>SUM(B208:B215)</f>
        <v>36</v>
      </c>
      <c r="C216" s="161" t="str">
        <f xml:space="preserve"> setValueToTime(B216)</f>
        <v>3h</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30</v>
      </c>
      <c r="C218" s="163"/>
      <c r="D218" s="156" t="s">
        <v>14</v>
      </c>
      <c r="E218" s="157" t="s">
        <v>199</v>
      </c>
      <c r="F218" s="158" t="s">
        <v>74</v>
      </c>
      <c r="G218" s="45"/>
    </row>
    <row r="219" spans="1:7" s="46" customFormat="1" ht="30" customHeight="1" thickBot="1">
      <c r="A219" s="77" t="s">
        <v>4</v>
      </c>
      <c r="B219" s="160" t="s">
        <v>38</v>
      </c>
      <c r="C219" s="159"/>
      <c r="D219" s="77" t="s">
        <v>12</v>
      </c>
      <c r="E219" s="245" t="s">
        <v>13</v>
      </c>
      <c r="F219" s="246"/>
      <c r="G219" s="45"/>
    </row>
    <row r="220" spans="1:7" s="51" customFormat="1" ht="27">
      <c r="A220" s="47" t="s">
        <v>63</v>
      </c>
      <c r="B220" s="48">
        <v>42</v>
      </c>
      <c r="C220" s="151" t="str">
        <f xml:space="preserve"> IF(B220="","",setValueToTime(B220))</f>
        <v>3h30min</v>
      </c>
      <c r="D220" s="165" t="s">
        <v>200</v>
      </c>
      <c r="E220" s="237"/>
      <c r="F220" s="238"/>
      <c r="G220" s="50"/>
    </row>
    <row r="221" spans="1:7" s="51" customFormat="1">
      <c r="A221" s="52" t="s">
        <v>15</v>
      </c>
      <c r="B221" s="53">
        <v>3</v>
      </c>
      <c r="C221" s="152" t="str">
        <f t="shared" ref="C221:C227" si="19" xml:space="preserve"> IF(B221="","",setValueToTime(B221))</f>
        <v>0h15min</v>
      </c>
      <c r="D221" s="166" t="s">
        <v>106</v>
      </c>
      <c r="E221" s="239"/>
      <c r="F221" s="240"/>
      <c r="G221" s="50"/>
    </row>
    <row r="222" spans="1:7" s="51" customFormat="1">
      <c r="A222" s="52"/>
      <c r="B222" s="53"/>
      <c r="C222" s="152" t="str">
        <f t="shared" si="19"/>
        <v/>
      </c>
      <c r="D222" s="54"/>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27.75" thickBot="1">
      <c r="A228" s="161" t="s">
        <v>27</v>
      </c>
      <c r="B228" s="82">
        <f>SUM(B220:B227)</f>
        <v>45</v>
      </c>
      <c r="C228" s="161" t="str">
        <f xml:space="preserve"> setValueToTime(B228)</f>
        <v>3h45min</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29</v>
      </c>
      <c r="C230" s="163"/>
      <c r="D230" s="156" t="s">
        <v>14</v>
      </c>
      <c r="E230" s="157" t="s">
        <v>192</v>
      </c>
      <c r="F230" s="158" t="s">
        <v>75</v>
      </c>
      <c r="G230" s="45"/>
    </row>
    <row r="231" spans="1:7" s="46" customFormat="1" ht="30" customHeight="1" thickBot="1">
      <c r="A231" s="77" t="s">
        <v>4</v>
      </c>
      <c r="B231" s="160" t="s">
        <v>38</v>
      </c>
      <c r="C231" s="159"/>
      <c r="D231" s="77" t="s">
        <v>12</v>
      </c>
      <c r="E231" s="245" t="s">
        <v>13</v>
      </c>
      <c r="F231" s="246"/>
      <c r="G231" s="45"/>
    </row>
    <row r="232" spans="1:7" s="51" customFormat="1" ht="27">
      <c r="A232" s="47" t="s">
        <v>63</v>
      </c>
      <c r="B232" s="48">
        <v>15</v>
      </c>
      <c r="C232" s="151" t="str">
        <f xml:space="preserve"> IF(B232="","",setValueToTime(B232))</f>
        <v>1h15min</v>
      </c>
      <c r="D232" s="165" t="s">
        <v>195</v>
      </c>
      <c r="E232" s="237"/>
      <c r="F232" s="238"/>
      <c r="G232" s="50"/>
    </row>
    <row r="233" spans="1:7" s="51" customFormat="1">
      <c r="A233" s="52" t="s">
        <v>66</v>
      </c>
      <c r="B233" s="53">
        <v>18</v>
      </c>
      <c r="C233" s="152" t="str">
        <f t="shared" ref="C233:C239" si="20" xml:space="preserve"> IF(B233="","",setValueToTime(B233))</f>
        <v>1h30min</v>
      </c>
      <c r="D233" s="166" t="s">
        <v>196</v>
      </c>
      <c r="E233" s="239"/>
      <c r="F233" s="240"/>
      <c r="G233" s="50"/>
    </row>
    <row r="234" spans="1:7" s="51" customFormat="1">
      <c r="A234" s="52" t="s">
        <v>15</v>
      </c>
      <c r="B234" s="53">
        <v>3</v>
      </c>
      <c r="C234" s="152" t="str">
        <f t="shared" si="20"/>
        <v>0h15min</v>
      </c>
      <c r="D234" s="166" t="s">
        <v>106</v>
      </c>
      <c r="E234" s="239"/>
      <c r="F234" s="240"/>
      <c r="G234" s="50"/>
    </row>
    <row r="235" spans="1:7" s="51" customFormat="1">
      <c r="A235" s="52"/>
      <c r="B235" s="53"/>
      <c r="C235" s="152" t="str">
        <f t="shared" si="20"/>
        <v/>
      </c>
      <c r="D235" s="54"/>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15" thickBot="1">
      <c r="A240" s="161" t="s">
        <v>27</v>
      </c>
      <c r="B240" s="82">
        <f>SUM(B232:B239)</f>
        <v>36</v>
      </c>
      <c r="C240" s="161" t="str">
        <f xml:space="preserve"> setValueToTime(B240)</f>
        <v>3h</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28</v>
      </c>
      <c r="C242" s="163"/>
      <c r="D242" s="156" t="s">
        <v>14</v>
      </c>
      <c r="E242" s="157" t="s">
        <v>192</v>
      </c>
      <c r="F242" s="158" t="s">
        <v>74</v>
      </c>
      <c r="G242" s="45"/>
    </row>
    <row r="243" spans="1:7" s="46" customFormat="1" ht="30" customHeight="1" thickBot="1">
      <c r="A243" s="77" t="s">
        <v>4</v>
      </c>
      <c r="B243" s="160" t="s">
        <v>38</v>
      </c>
      <c r="C243" s="159"/>
      <c r="D243" s="77" t="s">
        <v>12</v>
      </c>
      <c r="E243" s="245" t="s">
        <v>13</v>
      </c>
      <c r="F243" s="246"/>
      <c r="G243" s="45"/>
    </row>
    <row r="244" spans="1:7" s="51" customFormat="1" ht="40.5">
      <c r="A244" s="47" t="s">
        <v>117</v>
      </c>
      <c r="B244" s="48">
        <v>24</v>
      </c>
      <c r="C244" s="151" t="str">
        <f xml:space="preserve"> IF(B244="","",setValueToTime(B244))</f>
        <v>2h</v>
      </c>
      <c r="D244" s="165" t="s">
        <v>193</v>
      </c>
      <c r="E244" s="237"/>
      <c r="F244" s="238"/>
      <c r="G244" s="50"/>
    </row>
    <row r="245" spans="1:7" s="51" customFormat="1" ht="40.5">
      <c r="A245" s="52" t="s">
        <v>63</v>
      </c>
      <c r="B245" s="53">
        <v>18</v>
      </c>
      <c r="C245" s="152" t="str">
        <f t="shared" ref="C245:C251" si="21" xml:space="preserve"> IF(B245="","",setValueToTime(B245))</f>
        <v>1h30min</v>
      </c>
      <c r="D245" s="166" t="s">
        <v>194</v>
      </c>
      <c r="E245" s="248"/>
      <c r="F245" s="240"/>
      <c r="G245" s="50"/>
    </row>
    <row r="246" spans="1:7" s="51" customFormat="1">
      <c r="A246" s="52" t="s">
        <v>15</v>
      </c>
      <c r="B246" s="53">
        <v>3</v>
      </c>
      <c r="C246" s="152" t="str">
        <f t="shared" si="21"/>
        <v>0h15min</v>
      </c>
      <c r="D246" s="166" t="s">
        <v>106</v>
      </c>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27.75" thickBot="1">
      <c r="A252" s="161" t="s">
        <v>27</v>
      </c>
      <c r="B252" s="82">
        <f>SUM(B244:B251)</f>
        <v>45</v>
      </c>
      <c r="C252" s="161" t="str">
        <f xml:space="preserve"> setValueToTime(B252)</f>
        <v>3h45min</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27</v>
      </c>
      <c r="C254" s="163"/>
      <c r="D254" s="156" t="s">
        <v>14</v>
      </c>
      <c r="E254" s="157">
        <v>44256</v>
      </c>
      <c r="F254" s="158" t="s">
        <v>74</v>
      </c>
      <c r="G254" s="45"/>
    </row>
    <row r="255" spans="1:7" s="46" customFormat="1" ht="30" customHeight="1" thickBot="1">
      <c r="A255" s="77" t="s">
        <v>4</v>
      </c>
      <c r="B255" s="160" t="s">
        <v>38</v>
      </c>
      <c r="C255" s="159"/>
      <c r="D255" s="77" t="s">
        <v>12</v>
      </c>
      <c r="E255" s="245" t="s">
        <v>13</v>
      </c>
      <c r="F255" s="246"/>
      <c r="G255" s="45"/>
    </row>
    <row r="256" spans="1:7" s="51" customFormat="1" ht="27">
      <c r="A256" s="47" t="s">
        <v>117</v>
      </c>
      <c r="B256" s="48">
        <v>15</v>
      </c>
      <c r="C256" s="151" t="str">
        <f xml:space="preserve"> IF(B256="","",setValueToTime(B256))</f>
        <v>1h15min</v>
      </c>
      <c r="D256" s="165" t="s">
        <v>190</v>
      </c>
      <c r="E256" s="237"/>
      <c r="F256" s="238"/>
      <c r="G256" s="50"/>
    </row>
    <row r="257" spans="1:7" s="51" customFormat="1" ht="27">
      <c r="A257" s="52" t="s">
        <v>66</v>
      </c>
      <c r="B257" s="53">
        <v>18</v>
      </c>
      <c r="C257" s="152" t="str">
        <f t="shared" ref="C257:C263" si="22" xml:space="preserve"> IF(B257="","",setValueToTime(B257))</f>
        <v>1h30min</v>
      </c>
      <c r="D257" s="166" t="s">
        <v>191</v>
      </c>
      <c r="E257" s="239"/>
      <c r="F257" s="240"/>
      <c r="G257" s="50"/>
    </row>
    <row r="258" spans="1:7" s="51" customFormat="1">
      <c r="A258" s="52" t="s">
        <v>15</v>
      </c>
      <c r="B258" s="53">
        <v>3</v>
      </c>
      <c r="C258" s="152" t="str">
        <f t="shared" si="22"/>
        <v>0h15min</v>
      </c>
      <c r="D258" s="166" t="s">
        <v>106</v>
      </c>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15" thickBot="1">
      <c r="A264" s="161" t="s">
        <v>27</v>
      </c>
      <c r="B264" s="82">
        <f>SUM(B256:B263)</f>
        <v>36</v>
      </c>
      <c r="C264" s="161" t="str">
        <f xml:space="preserve"> setValueToTime(B264)</f>
        <v>3h</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26</v>
      </c>
      <c r="C266" s="163"/>
      <c r="D266" s="156" t="s">
        <v>14</v>
      </c>
      <c r="E266" s="157" t="s">
        <v>184</v>
      </c>
      <c r="F266" s="158" t="s">
        <v>75</v>
      </c>
      <c r="G266" s="45"/>
    </row>
    <row r="267" spans="1:7" s="46" customFormat="1" ht="30" customHeight="1" thickBot="1">
      <c r="A267" s="77" t="s">
        <v>4</v>
      </c>
      <c r="B267" s="160" t="s">
        <v>38</v>
      </c>
      <c r="C267" s="159"/>
      <c r="D267" s="77" t="s">
        <v>12</v>
      </c>
      <c r="E267" s="245" t="s">
        <v>13</v>
      </c>
      <c r="F267" s="246"/>
      <c r="G267" s="45"/>
    </row>
    <row r="268" spans="1:7" s="51" customFormat="1" ht="54">
      <c r="A268" s="47" t="s">
        <v>117</v>
      </c>
      <c r="B268" s="48">
        <v>33</v>
      </c>
      <c r="C268" s="151" t="str">
        <f xml:space="preserve"> IF(B268="","",setValueToTime(B268))</f>
        <v>2h45min</v>
      </c>
      <c r="D268" s="165" t="s">
        <v>186</v>
      </c>
      <c r="E268" s="237"/>
      <c r="F268" s="238"/>
      <c r="G268" s="50"/>
    </row>
    <row r="269" spans="1:7" s="51" customFormat="1">
      <c r="A269" s="52" t="s">
        <v>15</v>
      </c>
      <c r="B269" s="53">
        <v>3</v>
      </c>
      <c r="C269" s="152" t="str">
        <f t="shared" ref="C269:C275" si="23" xml:space="preserve"> IF(B269="","",setValueToTime(B269))</f>
        <v>0h15min</v>
      </c>
      <c r="D269" s="166" t="s">
        <v>106</v>
      </c>
      <c r="E269" s="239"/>
      <c r="F269" s="240"/>
      <c r="G269" s="50"/>
    </row>
    <row r="270" spans="1:7" s="51" customFormat="1">
      <c r="A270" s="52"/>
      <c r="B270" s="53"/>
      <c r="C270" s="152" t="str">
        <f t="shared" si="23"/>
        <v/>
      </c>
      <c r="D270" s="54"/>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15" thickBot="1">
      <c r="A276" s="161" t="s">
        <v>27</v>
      </c>
      <c r="B276" s="82">
        <f>SUM(B268:B275)</f>
        <v>36</v>
      </c>
      <c r="C276" s="161" t="str">
        <f xml:space="preserve"> setValueToTime(B276)</f>
        <v>3h</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25</v>
      </c>
      <c r="C278" s="163"/>
      <c r="D278" s="156" t="s">
        <v>14</v>
      </c>
      <c r="E278" s="157" t="s">
        <v>184</v>
      </c>
      <c r="F278" s="158" t="s">
        <v>74</v>
      </c>
      <c r="G278" s="45"/>
    </row>
    <row r="279" spans="1:7" s="46" customFormat="1" ht="30" customHeight="1" thickBot="1">
      <c r="A279" s="77" t="s">
        <v>4</v>
      </c>
      <c r="B279" s="160" t="s">
        <v>38</v>
      </c>
      <c r="C279" s="159"/>
      <c r="D279" s="77" t="s">
        <v>12</v>
      </c>
      <c r="E279" s="245" t="s">
        <v>13</v>
      </c>
      <c r="F279" s="246"/>
      <c r="G279" s="45"/>
    </row>
    <row r="280" spans="1:7" s="51" customFormat="1" ht="108">
      <c r="A280" s="47" t="s">
        <v>117</v>
      </c>
      <c r="B280" s="48">
        <v>33</v>
      </c>
      <c r="C280" s="151" t="str">
        <f xml:space="preserve"> IF(B280="","",setValueToTime(B280))</f>
        <v>2h45min</v>
      </c>
      <c r="D280" s="165" t="s">
        <v>185</v>
      </c>
      <c r="E280" s="237"/>
      <c r="F280" s="238"/>
      <c r="G280" s="50"/>
    </row>
    <row r="281" spans="1:7" s="51" customFormat="1">
      <c r="A281" s="52" t="s">
        <v>15</v>
      </c>
      <c r="B281" s="53">
        <v>3</v>
      </c>
      <c r="C281" s="152" t="str">
        <f t="shared" ref="C281:C287" si="24" xml:space="preserve"> IF(B281="","",setValueToTime(B281))</f>
        <v>0h15min</v>
      </c>
      <c r="D281" s="166" t="s">
        <v>106</v>
      </c>
      <c r="E281" s="239"/>
      <c r="F281" s="240"/>
      <c r="G281" s="50"/>
    </row>
    <row r="282" spans="1:7" s="51" customFormat="1">
      <c r="A282" s="52"/>
      <c r="B282" s="53"/>
      <c r="C282" s="152" t="str">
        <f t="shared" si="24"/>
        <v/>
      </c>
      <c r="D282" s="54"/>
      <c r="E282" s="239"/>
      <c r="F282" s="240"/>
      <c r="G282" s="50"/>
    </row>
    <row r="283" spans="1:7" s="51" customFormat="1">
      <c r="A283" s="52"/>
      <c r="B283" s="53"/>
      <c r="C283" s="152" t="str">
        <f t="shared" si="24"/>
        <v/>
      </c>
      <c r="D283" s="54"/>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15" thickBot="1">
      <c r="A288" s="161" t="s">
        <v>27</v>
      </c>
      <c r="B288" s="82">
        <f>SUM(B280:B287)</f>
        <v>36</v>
      </c>
      <c r="C288" s="161" t="str">
        <f xml:space="preserve"> setValueToTime(B288)</f>
        <v>3h</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24</v>
      </c>
      <c r="C290" s="163"/>
      <c r="D290" s="156" t="s">
        <v>14</v>
      </c>
      <c r="E290" s="157" t="s">
        <v>178</v>
      </c>
      <c r="F290" s="158" t="s">
        <v>75</v>
      </c>
      <c r="G290" s="45"/>
    </row>
    <row r="291" spans="1:7" s="46" customFormat="1" ht="30" customHeight="1" thickBot="1">
      <c r="A291" s="77" t="s">
        <v>4</v>
      </c>
      <c r="B291" s="160" t="s">
        <v>38</v>
      </c>
      <c r="C291" s="159"/>
      <c r="D291" s="77" t="s">
        <v>12</v>
      </c>
      <c r="E291" s="245" t="s">
        <v>13</v>
      </c>
      <c r="F291" s="246"/>
      <c r="G291" s="45"/>
    </row>
    <row r="292" spans="1:7" s="51" customFormat="1" ht="27">
      <c r="A292" s="47" t="s">
        <v>117</v>
      </c>
      <c r="B292" s="48">
        <v>16</v>
      </c>
      <c r="C292" s="151" t="str">
        <f xml:space="preserve"> IF(B292="","",setValueToTime(B292))</f>
        <v>1h20min</v>
      </c>
      <c r="D292" s="165" t="s">
        <v>182</v>
      </c>
      <c r="E292" s="237"/>
      <c r="F292" s="238"/>
      <c r="G292" s="50"/>
    </row>
    <row r="293" spans="1:7" s="51" customFormat="1" ht="40.5">
      <c r="A293" s="52" t="s">
        <v>66</v>
      </c>
      <c r="B293" s="53">
        <v>17</v>
      </c>
      <c r="C293" s="152" t="str">
        <f t="shared" ref="C293:C299" si="25" xml:space="preserve"> IF(B293="","",setValueToTime(B293))</f>
        <v>1h25min</v>
      </c>
      <c r="D293" s="166" t="s">
        <v>183</v>
      </c>
      <c r="E293" s="239"/>
      <c r="F293" s="240"/>
      <c r="G293" s="50"/>
    </row>
    <row r="294" spans="1:7" s="51" customFormat="1">
      <c r="A294" s="52" t="s">
        <v>15</v>
      </c>
      <c r="B294" s="53">
        <v>3</v>
      </c>
      <c r="C294" s="152" t="str">
        <f t="shared" si="25"/>
        <v>0h15min</v>
      </c>
      <c r="D294" s="166" t="s">
        <v>151</v>
      </c>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15" thickBot="1">
      <c r="A300" s="161" t="s">
        <v>27</v>
      </c>
      <c r="B300" s="82">
        <f>SUM(B292:B299)</f>
        <v>36</v>
      </c>
      <c r="C300" s="161" t="str">
        <f xml:space="preserve"> setValueToTime(B300)</f>
        <v>3h</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23</v>
      </c>
      <c r="C302" s="163"/>
      <c r="D302" s="156" t="s">
        <v>14</v>
      </c>
      <c r="E302" s="157" t="s">
        <v>178</v>
      </c>
      <c r="F302" s="158" t="s">
        <v>74</v>
      </c>
      <c r="G302" s="45"/>
    </row>
    <row r="303" spans="1:7" s="46" customFormat="1" ht="30" customHeight="1" thickBot="1">
      <c r="A303" s="77" t="s">
        <v>4</v>
      </c>
      <c r="B303" s="160" t="s">
        <v>38</v>
      </c>
      <c r="C303" s="159"/>
      <c r="D303" s="77" t="s">
        <v>12</v>
      </c>
      <c r="E303" s="245" t="s">
        <v>13</v>
      </c>
      <c r="F303" s="246"/>
      <c r="G303" s="45"/>
    </row>
    <row r="304" spans="1:7" s="51" customFormat="1" ht="40.5">
      <c r="A304" s="47" t="s">
        <v>117</v>
      </c>
      <c r="B304" s="48">
        <v>42</v>
      </c>
      <c r="C304" s="151" t="str">
        <f xml:space="preserve"> IF(B304="","",setValueToTime(B304))</f>
        <v>3h30min</v>
      </c>
      <c r="D304" s="165" t="s">
        <v>181</v>
      </c>
      <c r="E304" s="237"/>
      <c r="F304" s="238"/>
      <c r="G304" s="50"/>
    </row>
    <row r="305" spans="1:7" s="51" customFormat="1">
      <c r="A305" s="52" t="s">
        <v>15</v>
      </c>
      <c r="B305" s="53">
        <v>3</v>
      </c>
      <c r="C305" s="152" t="str">
        <f t="shared" ref="C305:C311" si="26" xml:space="preserve"> IF(B305="","",setValueToTime(B305))</f>
        <v>0h15min</v>
      </c>
      <c r="D305" s="166" t="s">
        <v>106</v>
      </c>
      <c r="E305" s="239"/>
      <c r="F305" s="240"/>
      <c r="G305" s="50"/>
    </row>
    <row r="306" spans="1:7" s="51" customFormat="1">
      <c r="A306" s="52"/>
      <c r="B306" s="53"/>
      <c r="C306" s="152" t="str">
        <f t="shared" si="26"/>
        <v/>
      </c>
      <c r="D306" s="54"/>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27.75" thickBot="1">
      <c r="A312" s="161" t="s">
        <v>27</v>
      </c>
      <c r="B312" s="82">
        <f>SUM(B304:B311)</f>
        <v>45</v>
      </c>
      <c r="C312" s="161" t="str">
        <f xml:space="preserve"> setValueToTime(B312)</f>
        <v>3h45min</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22</v>
      </c>
      <c r="C314" s="163"/>
      <c r="D314" s="156" t="s">
        <v>14</v>
      </c>
      <c r="E314" s="157" t="s">
        <v>177</v>
      </c>
      <c r="F314" s="158" t="s">
        <v>75</v>
      </c>
      <c r="G314" s="45"/>
    </row>
    <row r="315" spans="1:7" s="46" customFormat="1" ht="30" customHeight="1" thickBot="1">
      <c r="A315" s="77" t="s">
        <v>4</v>
      </c>
      <c r="B315" s="160" t="s">
        <v>38</v>
      </c>
      <c r="C315" s="159"/>
      <c r="D315" s="77" t="s">
        <v>12</v>
      </c>
      <c r="E315" s="245" t="s">
        <v>13</v>
      </c>
      <c r="F315" s="246"/>
      <c r="G315" s="45"/>
    </row>
    <row r="316" spans="1:7" s="51" customFormat="1">
      <c r="A316" s="47" t="s">
        <v>66</v>
      </c>
      <c r="B316" s="48">
        <v>18</v>
      </c>
      <c r="C316" s="151" t="str">
        <f xml:space="preserve"> IF(B316="","",setValueToTime(B316))</f>
        <v>1h30min</v>
      </c>
      <c r="D316" s="165" t="s">
        <v>179</v>
      </c>
      <c r="E316" s="237"/>
      <c r="F316" s="238"/>
      <c r="G316" s="50"/>
    </row>
    <row r="317" spans="1:7" s="51" customFormat="1" ht="27">
      <c r="A317" s="52" t="s">
        <v>117</v>
      </c>
      <c r="B317" s="53">
        <v>15</v>
      </c>
      <c r="C317" s="152" t="str">
        <f t="shared" ref="C317:C323" si="27" xml:space="preserve"> IF(B317="","",setValueToTime(B317))</f>
        <v>1h15min</v>
      </c>
      <c r="D317" s="166" t="s">
        <v>180</v>
      </c>
      <c r="E317" s="239"/>
      <c r="F317" s="240"/>
      <c r="G317" s="50"/>
    </row>
    <row r="318" spans="1:7" s="51" customFormat="1">
      <c r="A318" s="52" t="s">
        <v>15</v>
      </c>
      <c r="B318" s="53">
        <v>3</v>
      </c>
      <c r="C318" s="152" t="str">
        <f t="shared" si="27"/>
        <v>0h15min</v>
      </c>
      <c r="D318" s="166" t="s">
        <v>151</v>
      </c>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15" thickBot="1">
      <c r="A324" s="161" t="s">
        <v>27</v>
      </c>
      <c r="B324" s="82">
        <f>SUM(B316:B323)</f>
        <v>36</v>
      </c>
      <c r="C324" s="161" t="str">
        <f xml:space="preserve"> setValueToTime(B324)</f>
        <v>3h</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21</v>
      </c>
      <c r="C326" s="163"/>
      <c r="D326" s="156" t="s">
        <v>14</v>
      </c>
      <c r="E326" s="157">
        <v>44244</v>
      </c>
      <c r="F326" s="158" t="s">
        <v>74</v>
      </c>
      <c r="G326" s="45"/>
    </row>
    <row r="327" spans="1:7" s="46" customFormat="1" ht="30" customHeight="1" thickBot="1">
      <c r="A327" s="77" t="s">
        <v>4</v>
      </c>
      <c r="B327" s="160" t="s">
        <v>38</v>
      </c>
      <c r="C327" s="159"/>
      <c r="D327" s="77" t="s">
        <v>12</v>
      </c>
      <c r="E327" s="245" t="s">
        <v>13</v>
      </c>
      <c r="F327" s="246"/>
      <c r="G327" s="45"/>
    </row>
    <row r="328" spans="1:7" s="51" customFormat="1" ht="67.5">
      <c r="A328" s="47" t="s">
        <v>165</v>
      </c>
      <c r="B328" s="48">
        <v>42</v>
      </c>
      <c r="C328" s="151" t="str">
        <f xml:space="preserve"> IF(B328="","",setValueToTime(B328))</f>
        <v>3h30min</v>
      </c>
      <c r="D328" s="165" t="s">
        <v>172</v>
      </c>
      <c r="E328" s="237"/>
      <c r="F328" s="238"/>
      <c r="G328" s="50"/>
    </row>
    <row r="329" spans="1:7" s="51" customFormat="1">
      <c r="A329" s="52" t="s">
        <v>15</v>
      </c>
      <c r="B329" s="53">
        <v>3</v>
      </c>
      <c r="C329" s="152" t="str">
        <f t="shared" ref="C329:C335" si="28" xml:space="preserve"> IF(B329="","",setValueToTime(B329))</f>
        <v>0h15min</v>
      </c>
      <c r="D329" s="166" t="s">
        <v>106</v>
      </c>
      <c r="E329" s="239"/>
      <c r="F329" s="240"/>
      <c r="G329" s="50"/>
    </row>
    <row r="330" spans="1:7" s="51" customFormat="1">
      <c r="A330" s="52"/>
      <c r="B330" s="53"/>
      <c r="C330" s="152" t="str">
        <f t="shared" si="28"/>
        <v/>
      </c>
      <c r="D330" s="54"/>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27.75" thickBot="1">
      <c r="A336" s="161" t="s">
        <v>27</v>
      </c>
      <c r="B336" s="82">
        <f>SUM(B328:B335)</f>
        <v>45</v>
      </c>
      <c r="C336" s="161" t="str">
        <f xml:space="preserve"> setValueToTime(B336)</f>
        <v>3h45min</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20</v>
      </c>
      <c r="C338" s="163"/>
      <c r="D338" s="156" t="s">
        <v>14</v>
      </c>
      <c r="E338" s="157" t="s">
        <v>153</v>
      </c>
      <c r="F338" s="158" t="s">
        <v>75</v>
      </c>
      <c r="G338" s="45"/>
    </row>
    <row r="339" spans="1:7" s="46" customFormat="1" ht="30" customHeight="1" thickBot="1">
      <c r="A339" s="77" t="s">
        <v>4</v>
      </c>
      <c r="B339" s="160" t="s">
        <v>38</v>
      </c>
      <c r="C339" s="159"/>
      <c r="D339" s="77" t="s">
        <v>12</v>
      </c>
      <c r="E339" s="245" t="s">
        <v>13</v>
      </c>
      <c r="F339" s="246"/>
      <c r="G339" s="45"/>
    </row>
    <row r="340" spans="1:7" s="51" customFormat="1" ht="27">
      <c r="A340" s="47" t="s">
        <v>165</v>
      </c>
      <c r="B340" s="48">
        <v>33</v>
      </c>
      <c r="C340" s="151" t="str">
        <f xml:space="preserve"> IF(B340="","",setValueToTime(B340))</f>
        <v>2h45min</v>
      </c>
      <c r="D340" s="165" t="s">
        <v>168</v>
      </c>
      <c r="E340" s="237"/>
      <c r="F340" s="238"/>
      <c r="G340" s="50"/>
    </row>
    <row r="341" spans="1:7" s="51" customFormat="1">
      <c r="A341" s="52" t="s">
        <v>15</v>
      </c>
      <c r="B341" s="53">
        <v>3</v>
      </c>
      <c r="C341" s="152" t="str">
        <f t="shared" ref="C341:C347" si="29" xml:space="preserve"> IF(B341="","",setValueToTime(B341))</f>
        <v>0h15min</v>
      </c>
      <c r="D341" s="166" t="s">
        <v>106</v>
      </c>
      <c r="E341" s="239"/>
      <c r="F341" s="240"/>
      <c r="G341" s="50"/>
    </row>
    <row r="342" spans="1:7" s="51" customFormat="1">
      <c r="A342" s="52"/>
      <c r="B342" s="53"/>
      <c r="C342" s="152" t="str">
        <f t="shared" si="29"/>
        <v/>
      </c>
      <c r="D342" s="54"/>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15" thickBot="1">
      <c r="A348" s="161" t="s">
        <v>27</v>
      </c>
      <c r="B348" s="82">
        <f>SUM(B340:B347)</f>
        <v>36</v>
      </c>
      <c r="C348" s="161" t="str">
        <f xml:space="preserve"> setValueToTime(B348)</f>
        <v>3h</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19</v>
      </c>
      <c r="C350" s="163"/>
      <c r="D350" s="156" t="s">
        <v>14</v>
      </c>
      <c r="E350" s="157" t="s">
        <v>153</v>
      </c>
      <c r="F350" s="158" t="s">
        <v>74</v>
      </c>
      <c r="G350" s="45"/>
    </row>
    <row r="351" spans="1:7" s="46" customFormat="1" ht="30" customHeight="1" thickBot="1">
      <c r="A351" s="77" t="s">
        <v>4</v>
      </c>
      <c r="B351" s="160" t="s">
        <v>38</v>
      </c>
      <c r="C351" s="159"/>
      <c r="D351" s="77" t="s">
        <v>12</v>
      </c>
      <c r="E351" s="245" t="s">
        <v>13</v>
      </c>
      <c r="F351" s="246"/>
      <c r="G351" s="45"/>
    </row>
    <row r="352" spans="1:7" s="51" customFormat="1">
      <c r="A352" s="47" t="s">
        <v>50</v>
      </c>
      <c r="B352" s="48">
        <v>32</v>
      </c>
      <c r="C352" s="151" t="str">
        <f xml:space="preserve"> IF(B352="","",setValueToTime(B352))</f>
        <v>2h40min</v>
      </c>
      <c r="D352" s="165" t="s">
        <v>167</v>
      </c>
      <c r="E352" s="237"/>
      <c r="F352" s="238"/>
      <c r="G352" s="50"/>
    </row>
    <row r="353" spans="1:7" s="51" customFormat="1">
      <c r="A353" s="52" t="s">
        <v>15</v>
      </c>
      <c r="B353" s="53">
        <v>2</v>
      </c>
      <c r="C353" s="152" t="str">
        <f t="shared" ref="C353:C359" si="30" xml:space="preserve"> IF(B353="","",setValueToTime(B353))</f>
        <v>0h10min</v>
      </c>
      <c r="D353" s="166" t="s">
        <v>106</v>
      </c>
      <c r="E353" s="239"/>
      <c r="F353" s="240"/>
      <c r="G353" s="50"/>
    </row>
    <row r="354" spans="1:7" s="51" customFormat="1">
      <c r="A354" s="52"/>
      <c r="B354" s="53"/>
      <c r="C354" s="152" t="str">
        <f t="shared" si="30"/>
        <v/>
      </c>
      <c r="D354" s="54"/>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27.75" thickBot="1">
      <c r="A360" s="161" t="s">
        <v>27</v>
      </c>
      <c r="B360" s="82">
        <f>SUM(B352:B359)</f>
        <v>34</v>
      </c>
      <c r="C360" s="161" t="str">
        <f xml:space="preserve"> setValueToTime(B360)</f>
        <v>2h50min</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18</v>
      </c>
      <c r="C362" s="163"/>
      <c r="D362" s="156" t="s">
        <v>14</v>
      </c>
      <c r="E362" s="157" t="s">
        <v>156</v>
      </c>
      <c r="F362" s="158" t="s">
        <v>75</v>
      </c>
      <c r="G362" s="45"/>
    </row>
    <row r="363" spans="1:7" s="46" customFormat="1" ht="30" customHeight="1" thickBot="1">
      <c r="A363" s="77" t="s">
        <v>4</v>
      </c>
      <c r="B363" s="160" t="s">
        <v>38</v>
      </c>
      <c r="C363" s="159"/>
      <c r="D363" s="77" t="s">
        <v>12</v>
      </c>
      <c r="E363" s="245" t="s">
        <v>13</v>
      </c>
      <c r="F363" s="246"/>
      <c r="G363" s="45"/>
    </row>
    <row r="364" spans="1:7" s="51" customFormat="1">
      <c r="A364" s="47" t="s">
        <v>50</v>
      </c>
      <c r="B364" s="48">
        <v>33</v>
      </c>
      <c r="C364" s="151" t="str">
        <f xml:space="preserve"> IF(B364="","",setValueToTime(B364))</f>
        <v>2h45min</v>
      </c>
      <c r="D364" s="165" t="s">
        <v>163</v>
      </c>
      <c r="E364" s="237"/>
      <c r="F364" s="238"/>
      <c r="G364" s="50"/>
    </row>
    <row r="365" spans="1:7" s="51" customFormat="1">
      <c r="A365" s="52" t="s">
        <v>15</v>
      </c>
      <c r="B365" s="53">
        <v>3</v>
      </c>
      <c r="C365" s="152" t="str">
        <f t="shared" ref="C365:C371" si="31" xml:space="preserve"> IF(B365="","",setValueToTime(B365))</f>
        <v>0h15min</v>
      </c>
      <c r="D365" s="166" t="s">
        <v>106</v>
      </c>
      <c r="E365" s="239"/>
      <c r="F365" s="240"/>
      <c r="G365" s="50"/>
    </row>
    <row r="366" spans="1:7" s="51" customFormat="1">
      <c r="A366" s="52"/>
      <c r="B366" s="53"/>
      <c r="C366" s="152" t="str">
        <f t="shared" si="31"/>
        <v/>
      </c>
      <c r="D366" s="54"/>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15" thickBot="1">
      <c r="A372" s="161" t="s">
        <v>27</v>
      </c>
      <c r="B372" s="82">
        <f>SUM(B364:B371)</f>
        <v>36</v>
      </c>
      <c r="C372" s="161" t="str">
        <f xml:space="preserve"> setValueToTime(B372)</f>
        <v>3h</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17</v>
      </c>
      <c r="C374" s="163"/>
      <c r="D374" s="156" t="s">
        <v>14</v>
      </c>
      <c r="E374" s="157" t="s">
        <v>156</v>
      </c>
      <c r="F374" s="158" t="s">
        <v>74</v>
      </c>
      <c r="G374" s="45"/>
    </row>
    <row r="375" spans="1:7" s="46" customFormat="1" ht="30" customHeight="1" thickBot="1">
      <c r="A375" s="77" t="s">
        <v>4</v>
      </c>
      <c r="B375" s="160" t="s">
        <v>38</v>
      </c>
      <c r="C375" s="159"/>
      <c r="D375" s="77" t="s">
        <v>12</v>
      </c>
      <c r="E375" s="245" t="s">
        <v>13</v>
      </c>
      <c r="F375" s="246"/>
      <c r="G375" s="45"/>
    </row>
    <row r="376" spans="1:7" s="51" customFormat="1" ht="40.5">
      <c r="A376" s="47" t="s">
        <v>50</v>
      </c>
      <c r="B376" s="48">
        <v>43</v>
      </c>
      <c r="C376" s="151" t="str">
        <f xml:space="preserve"> IF(B376="","",setValueToTime(B376))</f>
        <v>3h35min</v>
      </c>
      <c r="D376" s="165" t="s">
        <v>162</v>
      </c>
      <c r="E376" s="237"/>
      <c r="F376" s="238"/>
      <c r="G376" s="50"/>
    </row>
    <row r="377" spans="1:7" s="51" customFormat="1">
      <c r="A377" s="52" t="s">
        <v>15</v>
      </c>
      <c r="B377" s="53">
        <v>2</v>
      </c>
      <c r="C377" s="152" t="str">
        <f t="shared" ref="C377:C383" si="32" xml:space="preserve"> IF(B377="","",setValueToTime(B377))</f>
        <v>0h10min</v>
      </c>
      <c r="D377" s="166" t="s">
        <v>106</v>
      </c>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27.75" thickBot="1">
      <c r="A384" s="161" t="s">
        <v>27</v>
      </c>
      <c r="B384" s="82">
        <f>SUM(B376:B383)</f>
        <v>45</v>
      </c>
      <c r="C384" s="161" t="str">
        <f xml:space="preserve"> setValueToTime(B384)</f>
        <v>3h45min</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16</v>
      </c>
      <c r="C386" s="163"/>
      <c r="D386" s="156" t="s">
        <v>14</v>
      </c>
      <c r="E386" s="157" t="s">
        <v>146</v>
      </c>
      <c r="F386" s="158" t="s">
        <v>75</v>
      </c>
      <c r="G386" s="45"/>
    </row>
    <row r="387" spans="1:7" s="46" customFormat="1" ht="30" customHeight="1" thickBot="1">
      <c r="A387" s="77" t="s">
        <v>4</v>
      </c>
      <c r="B387" s="160" t="s">
        <v>38</v>
      </c>
      <c r="C387" s="159"/>
      <c r="D387" s="77" t="s">
        <v>12</v>
      </c>
      <c r="E387" s="245" t="s">
        <v>13</v>
      </c>
      <c r="F387" s="246"/>
      <c r="G387" s="45"/>
    </row>
    <row r="388" spans="1:7" s="51" customFormat="1">
      <c r="A388" s="47" t="s">
        <v>50</v>
      </c>
      <c r="B388" s="48">
        <v>33</v>
      </c>
      <c r="C388" s="151" t="str">
        <f xml:space="preserve"> IF(B388="","",setValueToTime(B388))</f>
        <v>2h45min</v>
      </c>
      <c r="D388" s="165" t="s">
        <v>150</v>
      </c>
      <c r="E388" s="237"/>
      <c r="F388" s="238"/>
      <c r="G388" s="50"/>
    </row>
    <row r="389" spans="1:7" s="51" customFormat="1">
      <c r="A389" s="52" t="s">
        <v>15</v>
      </c>
      <c r="B389" s="53">
        <v>3</v>
      </c>
      <c r="C389" s="152" t="str">
        <f t="shared" ref="C389:C395" si="33" xml:space="preserve"> IF(B389="","",setValueToTime(B389))</f>
        <v>0h15min</v>
      </c>
      <c r="D389" s="166" t="s">
        <v>151</v>
      </c>
      <c r="E389" s="239"/>
      <c r="F389" s="240"/>
      <c r="G389" s="50"/>
    </row>
    <row r="390" spans="1:7" s="51" customFormat="1">
      <c r="A390" s="52"/>
      <c r="B390" s="53"/>
      <c r="C390" s="152" t="str">
        <f t="shared" si="33"/>
        <v/>
      </c>
      <c r="D390" s="54"/>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15</v>
      </c>
      <c r="C398" s="163"/>
      <c r="D398" s="156" t="s">
        <v>14</v>
      </c>
      <c r="E398" s="157" t="s">
        <v>146</v>
      </c>
      <c r="F398" s="158" t="s">
        <v>74</v>
      </c>
      <c r="G398" s="45"/>
    </row>
    <row r="399" spans="1:7" s="46" customFormat="1" ht="30" customHeight="1" thickBot="1">
      <c r="A399" s="77" t="s">
        <v>4</v>
      </c>
      <c r="B399" s="160" t="s">
        <v>38</v>
      </c>
      <c r="C399" s="159"/>
      <c r="D399" s="77" t="s">
        <v>12</v>
      </c>
      <c r="E399" s="245" t="s">
        <v>13</v>
      </c>
      <c r="F399" s="246"/>
      <c r="G399" s="45"/>
    </row>
    <row r="400" spans="1:7" s="51" customFormat="1">
      <c r="A400" s="47" t="s">
        <v>51</v>
      </c>
      <c r="B400" s="48">
        <v>6</v>
      </c>
      <c r="C400" s="151" t="str">
        <f xml:space="preserve"> IF(B400="","",setValueToTime(B400))</f>
        <v>0h30min</v>
      </c>
      <c r="D400" s="165" t="s">
        <v>147</v>
      </c>
      <c r="E400" s="237"/>
      <c r="F400" s="238"/>
      <c r="G400" s="50"/>
    </row>
    <row r="401" spans="1:7" s="51" customFormat="1">
      <c r="A401" s="52" t="s">
        <v>56</v>
      </c>
      <c r="B401" s="53">
        <v>6</v>
      </c>
      <c r="C401" s="152" t="str">
        <f t="shared" ref="C401:C407" si="34" xml:space="preserve"> IF(B401="","",setValueToTime(B401))</f>
        <v>0h30min</v>
      </c>
      <c r="D401" s="166" t="s">
        <v>148</v>
      </c>
      <c r="E401" s="239"/>
      <c r="F401" s="240"/>
      <c r="G401" s="50"/>
    </row>
    <row r="402" spans="1:7" s="51" customFormat="1">
      <c r="A402" s="52" t="s">
        <v>66</v>
      </c>
      <c r="B402" s="53">
        <v>24</v>
      </c>
      <c r="C402" s="152" t="str">
        <f t="shared" si="34"/>
        <v>2h</v>
      </c>
      <c r="D402" s="166" t="s">
        <v>149</v>
      </c>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15" thickBot="1">
      <c r="A408" s="161" t="s">
        <v>27</v>
      </c>
      <c r="B408" s="82">
        <f>SUM(B400:B407)</f>
        <v>36</v>
      </c>
      <c r="C408" s="161" t="str">
        <f xml:space="preserve"> setValueToTime(B408)</f>
        <v>3h</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14</v>
      </c>
      <c r="C410" s="163"/>
      <c r="D410" s="156" t="s">
        <v>14</v>
      </c>
      <c r="E410" s="157">
        <v>44235</v>
      </c>
      <c r="F410" s="158" t="s">
        <v>86</v>
      </c>
      <c r="G410" s="45"/>
    </row>
    <row r="411" spans="1:7" s="46" customFormat="1" ht="30" customHeight="1" thickBot="1">
      <c r="A411" s="77" t="s">
        <v>4</v>
      </c>
      <c r="B411" s="160" t="s">
        <v>38</v>
      </c>
      <c r="C411" s="159"/>
      <c r="D411" s="77" t="s">
        <v>12</v>
      </c>
      <c r="E411" s="245" t="s">
        <v>13</v>
      </c>
      <c r="F411" s="246"/>
      <c r="G411" s="45"/>
    </row>
    <row r="412" spans="1:7" s="51" customFormat="1">
      <c r="A412" s="47" t="s">
        <v>51</v>
      </c>
      <c r="B412" s="48">
        <v>36</v>
      </c>
      <c r="C412" s="151" t="str">
        <f xml:space="preserve"> IF(B412="","",setValueToTime(B412))</f>
        <v>3h</v>
      </c>
      <c r="D412" s="165" t="s">
        <v>141</v>
      </c>
      <c r="E412" s="237"/>
      <c r="F412" s="238"/>
      <c r="G412" s="50"/>
    </row>
    <row r="413" spans="1:7" s="51" customFormat="1">
      <c r="A413" s="52"/>
      <c r="B413" s="53"/>
      <c r="C413" s="152" t="str">
        <f t="shared" ref="C413:C419" si="35" xml:space="preserve"> IF(B413="","",setValueToTime(B413))</f>
        <v/>
      </c>
      <c r="D413" s="54"/>
      <c r="E413" s="239"/>
      <c r="F413" s="240"/>
      <c r="G413" s="50"/>
    </row>
    <row r="414" spans="1:7" s="51" customFormat="1">
      <c r="A414" s="52"/>
      <c r="B414" s="53"/>
      <c r="C414" s="152" t="str">
        <f t="shared" si="35"/>
        <v/>
      </c>
      <c r="D414" s="54"/>
      <c r="E414" s="239"/>
      <c r="F414" s="240"/>
      <c r="G414" s="50"/>
    </row>
    <row r="415" spans="1:7" s="51" customFormat="1">
      <c r="A415" s="52"/>
      <c r="B415" s="53"/>
      <c r="C415" s="152" t="str">
        <f t="shared" si="35"/>
        <v/>
      </c>
      <c r="D415" s="54"/>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15" thickBot="1">
      <c r="A420" s="161" t="s">
        <v>27</v>
      </c>
      <c r="B420" s="82">
        <f>SUM(B412:B419)</f>
        <v>36</v>
      </c>
      <c r="C420" s="161" t="str">
        <f xml:space="preserve"> setValueToTime(B420)</f>
        <v>3h</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13</v>
      </c>
      <c r="C422" s="163"/>
      <c r="D422" s="156" t="s">
        <v>14</v>
      </c>
      <c r="E422" s="157" t="s">
        <v>138</v>
      </c>
      <c r="F422" s="158" t="s">
        <v>75</v>
      </c>
      <c r="G422" s="45"/>
    </row>
    <row r="423" spans="1:7" s="46" customFormat="1" ht="30" customHeight="1" thickBot="1">
      <c r="A423" s="77" t="s">
        <v>4</v>
      </c>
      <c r="B423" s="160" t="s">
        <v>38</v>
      </c>
      <c r="C423" s="159"/>
      <c r="D423" s="77" t="s">
        <v>12</v>
      </c>
      <c r="E423" s="245" t="s">
        <v>13</v>
      </c>
      <c r="F423" s="246"/>
      <c r="G423" s="45"/>
    </row>
    <row r="424" spans="1:7" s="51" customFormat="1" ht="27">
      <c r="A424" s="197" t="s">
        <v>66</v>
      </c>
      <c r="B424" s="48">
        <v>33</v>
      </c>
      <c r="C424" s="151" t="str">
        <f xml:space="preserve"> IF(B424="","",setValueToTime(B424))</f>
        <v>2h45min</v>
      </c>
      <c r="D424" s="165" t="s">
        <v>140</v>
      </c>
      <c r="E424" s="237"/>
      <c r="F424" s="238"/>
      <c r="G424" s="50"/>
    </row>
    <row r="425" spans="1:7" s="51" customFormat="1">
      <c r="A425" s="52" t="s">
        <v>15</v>
      </c>
      <c r="B425" s="53">
        <v>3</v>
      </c>
      <c r="C425" s="152" t="str">
        <f t="shared" ref="C425:C431" si="36" xml:space="preserve"> IF(B425="","",setValueToTime(B425))</f>
        <v>0h15min</v>
      </c>
      <c r="D425" s="166" t="s">
        <v>106</v>
      </c>
      <c r="E425" s="239"/>
      <c r="F425" s="240"/>
      <c r="G425" s="50"/>
    </row>
    <row r="426" spans="1:7" s="51" customFormat="1">
      <c r="A426" s="52"/>
      <c r="B426" s="53"/>
      <c r="C426" s="152" t="str">
        <f t="shared" si="36"/>
        <v/>
      </c>
      <c r="D426" s="54"/>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15" thickBot="1">
      <c r="A432" s="161" t="s">
        <v>27</v>
      </c>
      <c r="B432" s="82">
        <f>SUM(B424:B431)</f>
        <v>36</v>
      </c>
      <c r="C432" s="161" t="str">
        <f xml:space="preserve"> setValueToTime(B432)</f>
        <v>3h</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12</v>
      </c>
      <c r="C434" s="163"/>
      <c r="D434" s="156" t="s">
        <v>14</v>
      </c>
      <c r="E434" s="157" t="s">
        <v>138</v>
      </c>
      <c r="F434" s="158" t="s">
        <v>74</v>
      </c>
      <c r="G434" s="45"/>
    </row>
    <row r="435" spans="1:7" s="46" customFormat="1" ht="30" customHeight="1" thickBot="1">
      <c r="A435" s="77" t="s">
        <v>4</v>
      </c>
      <c r="B435" s="160" t="s">
        <v>38</v>
      </c>
      <c r="C435" s="159"/>
      <c r="D435" s="77" t="s">
        <v>12</v>
      </c>
      <c r="E435" s="245" t="s">
        <v>13</v>
      </c>
      <c r="F435" s="246"/>
      <c r="G435" s="45"/>
    </row>
    <row r="436" spans="1:7" s="51" customFormat="1" ht="81">
      <c r="A436" s="47" t="s">
        <v>60</v>
      </c>
      <c r="B436" s="48">
        <v>33</v>
      </c>
      <c r="C436" s="151" t="str">
        <f xml:space="preserve"> IF(B436="","",setValueToTime(B436))</f>
        <v>2h45min</v>
      </c>
      <c r="D436" s="165" t="s">
        <v>139</v>
      </c>
      <c r="E436" s="237"/>
      <c r="F436" s="238"/>
      <c r="G436" s="50"/>
    </row>
    <row r="437" spans="1:7" s="51" customFormat="1">
      <c r="A437" s="52" t="s">
        <v>15</v>
      </c>
      <c r="B437" s="53">
        <v>3</v>
      </c>
      <c r="C437" s="152" t="str">
        <f t="shared" ref="C437:C443" si="37" xml:space="preserve"> IF(B437="","",setValueToTime(B437))</f>
        <v>0h15min</v>
      </c>
      <c r="D437" s="166" t="s">
        <v>106</v>
      </c>
      <c r="E437" s="239"/>
      <c r="F437" s="240"/>
      <c r="G437" s="50"/>
    </row>
    <row r="438" spans="1:7" s="51" customFormat="1">
      <c r="A438" s="52"/>
      <c r="B438" s="53"/>
      <c r="C438" s="152" t="str">
        <f t="shared" si="37"/>
        <v/>
      </c>
      <c r="D438" s="54"/>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15" thickBot="1">
      <c r="A444" s="161" t="s">
        <v>27</v>
      </c>
      <c r="B444" s="82">
        <f>SUM(B436:B443)</f>
        <v>36</v>
      </c>
      <c r="C444" s="161" t="str">
        <f xml:space="preserve"> setValueToTime(B444)</f>
        <v>3h</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11</v>
      </c>
      <c r="C446" s="163"/>
      <c r="D446" s="156" t="s">
        <v>14</v>
      </c>
      <c r="E446" s="157" t="s">
        <v>135</v>
      </c>
      <c r="F446" s="158" t="s">
        <v>75</v>
      </c>
      <c r="G446" s="45"/>
    </row>
    <row r="447" spans="1:7" s="46" customFormat="1" ht="30" customHeight="1" thickBot="1">
      <c r="A447" s="77" t="s">
        <v>4</v>
      </c>
      <c r="B447" s="160" t="s">
        <v>38</v>
      </c>
      <c r="C447" s="159"/>
      <c r="D447" s="77" t="s">
        <v>12</v>
      </c>
      <c r="E447" s="245" t="s">
        <v>13</v>
      </c>
      <c r="F447" s="246"/>
      <c r="G447" s="45"/>
    </row>
    <row r="448" spans="1:7" s="51" customFormat="1" ht="54">
      <c r="A448" s="47" t="s">
        <v>60</v>
      </c>
      <c r="B448" s="48">
        <v>33</v>
      </c>
      <c r="C448" s="151" t="str">
        <f xml:space="preserve"> IF(B448="","",setValueToTime(B448))</f>
        <v>2h45min</v>
      </c>
      <c r="D448" s="165" t="s">
        <v>137</v>
      </c>
      <c r="E448" s="237"/>
      <c r="F448" s="238"/>
      <c r="G448" s="50"/>
    </row>
    <row r="449" spans="1:7" s="51" customFormat="1">
      <c r="A449" s="52" t="s">
        <v>15</v>
      </c>
      <c r="B449" s="53">
        <v>3</v>
      </c>
      <c r="C449" s="152" t="str">
        <f t="shared" ref="C449:C455" si="38" xml:space="preserve"> IF(B449="","",setValueToTime(B449))</f>
        <v>0h15min</v>
      </c>
      <c r="D449" s="166" t="s">
        <v>106</v>
      </c>
      <c r="E449" s="239"/>
      <c r="F449" s="240"/>
      <c r="G449" s="50"/>
    </row>
    <row r="450" spans="1:7" s="51" customFormat="1">
      <c r="A450" s="52"/>
      <c r="B450" s="53"/>
      <c r="C450" s="152" t="str">
        <f t="shared" si="38"/>
        <v/>
      </c>
      <c r="D450" s="54"/>
      <c r="E450" s="239"/>
      <c r="F450" s="240"/>
      <c r="G450" s="50"/>
    </row>
    <row r="451" spans="1:7" s="51" customFormat="1">
      <c r="A451" s="52"/>
      <c r="B451" s="53"/>
      <c r="C451" s="152" t="str">
        <f t="shared" si="38"/>
        <v/>
      </c>
      <c r="D451" s="54"/>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15" thickBot="1">
      <c r="A456" s="161" t="s">
        <v>27</v>
      </c>
      <c r="B456" s="82">
        <f>SUM(B448:B455)</f>
        <v>36</v>
      </c>
      <c r="C456" s="161" t="str">
        <f xml:space="preserve"> setValueToTime(B456)</f>
        <v>3h</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10</v>
      </c>
      <c r="C458" s="163"/>
      <c r="D458" s="156" t="s">
        <v>14</v>
      </c>
      <c r="E458" s="157" t="s">
        <v>135</v>
      </c>
      <c r="F458" s="158" t="s">
        <v>74</v>
      </c>
      <c r="G458" s="45"/>
    </row>
    <row r="459" spans="1:7" s="46" customFormat="1" ht="30" customHeight="1" thickBot="1">
      <c r="A459" s="77" t="s">
        <v>4</v>
      </c>
      <c r="B459" s="160" t="s">
        <v>38</v>
      </c>
      <c r="C459" s="159"/>
      <c r="D459" s="77" t="s">
        <v>12</v>
      </c>
      <c r="E459" s="245" t="s">
        <v>13</v>
      </c>
      <c r="F459" s="246"/>
      <c r="G459" s="45"/>
    </row>
    <row r="460" spans="1:7" s="51" customFormat="1" ht="40.5">
      <c r="A460" s="47" t="s">
        <v>59</v>
      </c>
      <c r="B460" s="48">
        <v>42</v>
      </c>
      <c r="C460" s="151" t="str">
        <f xml:space="preserve"> IF(B460="","",setValueToTime(B460))</f>
        <v>3h30min</v>
      </c>
      <c r="D460" s="165" t="s">
        <v>136</v>
      </c>
      <c r="E460" s="237"/>
      <c r="F460" s="238"/>
      <c r="G460" s="50"/>
    </row>
    <row r="461" spans="1:7" s="51" customFormat="1">
      <c r="A461" s="52" t="s">
        <v>15</v>
      </c>
      <c r="B461" s="53">
        <v>3</v>
      </c>
      <c r="C461" s="152" t="str">
        <f t="shared" ref="C461:C467" si="39" xml:space="preserve"> IF(B461="","",setValueToTime(B461))</f>
        <v>0h15min</v>
      </c>
      <c r="D461" s="166" t="s">
        <v>106</v>
      </c>
      <c r="E461" s="239"/>
      <c r="F461" s="240"/>
      <c r="G461" s="50"/>
    </row>
    <row r="462" spans="1:7" s="51" customFormat="1">
      <c r="A462" s="52"/>
      <c r="B462" s="53"/>
      <c r="C462" s="152" t="str">
        <f t="shared" si="39"/>
        <v/>
      </c>
      <c r="D462" s="54"/>
      <c r="E462" s="239"/>
      <c r="F462" s="240"/>
      <c r="G462" s="50"/>
    </row>
    <row r="463" spans="1:7" s="51" customFormat="1">
      <c r="A463" s="52"/>
      <c r="B463" s="53"/>
      <c r="C463" s="152" t="str">
        <f t="shared" si="39"/>
        <v/>
      </c>
      <c r="D463" s="54"/>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27.75" thickBot="1">
      <c r="A468" s="161" t="s">
        <v>27</v>
      </c>
      <c r="B468" s="82">
        <f>SUM(B460:B467)</f>
        <v>45</v>
      </c>
      <c r="C468" s="161" t="str">
        <f xml:space="preserve"> setValueToTime(B468)</f>
        <v>3h45min</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9</v>
      </c>
      <c r="C470" s="163"/>
      <c r="D470" s="156" t="s">
        <v>14</v>
      </c>
      <c r="E470" s="157" t="s">
        <v>126</v>
      </c>
      <c r="F470" s="158" t="s">
        <v>75</v>
      </c>
      <c r="G470" s="45"/>
    </row>
    <row r="471" spans="1:7" s="46" customFormat="1" ht="30" customHeight="1" thickBot="1">
      <c r="A471" s="77" t="s">
        <v>4</v>
      </c>
      <c r="B471" s="160" t="s">
        <v>38</v>
      </c>
      <c r="C471" s="159"/>
      <c r="D471" s="77" t="s">
        <v>12</v>
      </c>
      <c r="E471" s="245" t="s">
        <v>13</v>
      </c>
      <c r="F471" s="246"/>
      <c r="G471" s="45"/>
    </row>
    <row r="472" spans="1:7" s="51" customFormat="1" ht="27">
      <c r="A472" s="47" t="s">
        <v>59</v>
      </c>
      <c r="B472" s="48">
        <v>33</v>
      </c>
      <c r="C472" s="151" t="str">
        <f xml:space="preserve"> IF(B472="","",setValueToTime(B472))</f>
        <v>2h45min</v>
      </c>
      <c r="D472" s="165" t="s">
        <v>134</v>
      </c>
      <c r="E472" s="237"/>
      <c r="F472" s="238"/>
      <c r="G472" s="50"/>
    </row>
    <row r="473" spans="1:7" s="51" customFormat="1">
      <c r="A473" s="52" t="s">
        <v>15</v>
      </c>
      <c r="B473" s="53">
        <v>3</v>
      </c>
      <c r="C473" s="152" t="str">
        <f t="shared" ref="C473:C479" si="40" xml:space="preserve"> IF(B473="","",setValueToTime(B473))</f>
        <v>0h15min</v>
      </c>
      <c r="D473" s="166" t="s">
        <v>106</v>
      </c>
      <c r="E473" s="239"/>
      <c r="F473" s="240"/>
      <c r="G473" s="50"/>
    </row>
    <row r="474" spans="1:7" s="51" customFormat="1">
      <c r="A474" s="52"/>
      <c r="B474" s="53"/>
      <c r="C474" s="152" t="str">
        <f t="shared" si="40"/>
        <v/>
      </c>
      <c r="D474" s="54"/>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15" thickBot="1">
      <c r="A480" s="161" t="s">
        <v>27</v>
      </c>
      <c r="B480" s="82">
        <f>SUM(B472:B479)</f>
        <v>36</v>
      </c>
      <c r="C480" s="161" t="str">
        <f xml:space="preserve"> setValueToTime(B480)</f>
        <v>3h</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8</v>
      </c>
      <c r="C482" s="163"/>
      <c r="D482" s="156" t="s">
        <v>14</v>
      </c>
      <c r="E482" s="157" t="s">
        <v>126</v>
      </c>
      <c r="F482" s="158" t="s">
        <v>74</v>
      </c>
      <c r="G482" s="45"/>
    </row>
    <row r="483" spans="1:7" s="46" customFormat="1" ht="30" customHeight="1" thickBot="1">
      <c r="A483" s="77" t="s">
        <v>4</v>
      </c>
      <c r="B483" s="160" t="s">
        <v>38</v>
      </c>
      <c r="C483" s="159"/>
      <c r="D483" s="77" t="s">
        <v>12</v>
      </c>
      <c r="E483" s="245" t="s">
        <v>13</v>
      </c>
      <c r="F483" s="246"/>
      <c r="G483" s="45"/>
    </row>
    <row r="484" spans="1:7" s="51" customFormat="1" ht="27">
      <c r="A484" s="47" t="s">
        <v>118</v>
      </c>
      <c r="B484" s="48">
        <v>12</v>
      </c>
      <c r="C484" s="151" t="str">
        <f xml:space="preserve"> IF(B484="","",setValueToTime(B484))</f>
        <v>1h</v>
      </c>
      <c r="D484" s="165" t="s">
        <v>131</v>
      </c>
      <c r="E484" s="237"/>
      <c r="F484" s="238"/>
      <c r="G484" s="50"/>
    </row>
    <row r="485" spans="1:7" s="51" customFormat="1" ht="27">
      <c r="A485" s="52" t="s">
        <v>66</v>
      </c>
      <c r="B485" s="53">
        <v>12</v>
      </c>
      <c r="C485" s="152" t="str">
        <f t="shared" ref="C485:C491" si="41" xml:space="preserve"> IF(B485="","",setValueToTime(B485))</f>
        <v>1h</v>
      </c>
      <c r="D485" s="166" t="s">
        <v>132</v>
      </c>
      <c r="E485" s="239"/>
      <c r="F485" s="240"/>
      <c r="G485" s="50"/>
    </row>
    <row r="486" spans="1:7" s="51" customFormat="1">
      <c r="A486" s="52" t="s">
        <v>59</v>
      </c>
      <c r="B486" s="53">
        <v>21</v>
      </c>
      <c r="C486" s="152" t="str">
        <f t="shared" si="41"/>
        <v>1h45min</v>
      </c>
      <c r="D486" s="166" t="s">
        <v>133</v>
      </c>
      <c r="E486" s="239"/>
      <c r="F486" s="240"/>
      <c r="G486" s="50"/>
    </row>
    <row r="487" spans="1:7" s="51" customFormat="1">
      <c r="A487" s="52"/>
      <c r="B487" s="53"/>
      <c r="C487" s="152" t="str">
        <f t="shared" si="41"/>
        <v/>
      </c>
      <c r="D487" s="54"/>
      <c r="E487" s="239"/>
      <c r="F487" s="240"/>
      <c r="G487" s="50"/>
    </row>
    <row r="488" spans="1:7" s="51" customFormat="1">
      <c r="A488" s="53"/>
      <c r="B488" s="53"/>
      <c r="C488" s="153" t="str">
        <f t="shared" si="41"/>
        <v/>
      </c>
      <c r="D488" s="54"/>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27.75" thickBot="1">
      <c r="A492" s="161" t="s">
        <v>27</v>
      </c>
      <c r="B492" s="82">
        <f>SUM(B484:B491)</f>
        <v>45</v>
      </c>
      <c r="C492" s="161" t="str">
        <f xml:space="preserve"> setValueToTime(B492)</f>
        <v>3h45min</v>
      </c>
      <c r="D492" s="120"/>
      <c r="E492" s="243"/>
      <c r="F492" s="244"/>
      <c r="G492" s="50"/>
    </row>
    <row r="493" spans="1:7" s="58" customFormat="1" ht="15" thickBot="1">
      <c r="A493" s="76"/>
      <c r="B493" s="76"/>
      <c r="C493" s="76"/>
      <c r="D493" s="76"/>
      <c r="E493" s="76"/>
      <c r="F493" s="76"/>
      <c r="G493" s="57"/>
    </row>
    <row r="494" spans="1:7" s="46" customFormat="1" ht="30" customHeight="1" thickBot="1">
      <c r="A494" s="155" t="s">
        <v>11</v>
      </c>
      <c r="B494" s="163">
        <v>7</v>
      </c>
      <c r="C494" s="163"/>
      <c r="D494" s="156" t="s">
        <v>14</v>
      </c>
      <c r="E494" s="157" t="s">
        <v>125</v>
      </c>
      <c r="F494" s="158" t="s">
        <v>74</v>
      </c>
      <c r="G494" s="45"/>
    </row>
    <row r="495" spans="1:7" s="46" customFormat="1" ht="30" customHeight="1" thickBot="1">
      <c r="A495" s="77" t="s">
        <v>4</v>
      </c>
      <c r="B495" s="160" t="s">
        <v>38</v>
      </c>
      <c r="C495" s="159"/>
      <c r="D495" s="77" t="s">
        <v>12</v>
      </c>
      <c r="E495" s="245" t="s">
        <v>13</v>
      </c>
      <c r="F495" s="246"/>
      <c r="G495" s="45"/>
    </row>
    <row r="496" spans="1:7" s="51" customFormat="1">
      <c r="A496" s="47" t="s">
        <v>51</v>
      </c>
      <c r="B496" s="48">
        <v>6</v>
      </c>
      <c r="C496" s="151" t="str">
        <f xml:space="preserve"> IF(B496="","",setValueToTime(B496))</f>
        <v>0h30min</v>
      </c>
      <c r="D496" s="165" t="s">
        <v>127</v>
      </c>
      <c r="E496" s="237"/>
      <c r="F496" s="238"/>
      <c r="G496" s="50"/>
    </row>
    <row r="497" spans="1:7" s="51" customFormat="1" ht="27">
      <c r="A497" s="52" t="s">
        <v>65</v>
      </c>
      <c r="B497" s="53">
        <v>12</v>
      </c>
      <c r="C497" s="152" t="str">
        <f t="shared" ref="C497:C503" si="42" xml:space="preserve"> IF(B497="","",setValueToTime(B497))</f>
        <v>1h</v>
      </c>
      <c r="D497" s="166" t="s">
        <v>128</v>
      </c>
      <c r="E497" s="239"/>
      <c r="F497" s="240"/>
      <c r="G497" s="50"/>
    </row>
    <row r="498" spans="1:7" s="51" customFormat="1">
      <c r="A498" s="52" t="s">
        <v>56</v>
      </c>
      <c r="B498" s="53">
        <v>6</v>
      </c>
      <c r="C498" s="152" t="str">
        <f t="shared" si="42"/>
        <v>0h30min</v>
      </c>
      <c r="D498" s="166" t="s">
        <v>129</v>
      </c>
      <c r="E498" s="239"/>
      <c r="F498" s="240"/>
      <c r="G498" s="50"/>
    </row>
    <row r="499" spans="1:7" s="51" customFormat="1" ht="27">
      <c r="A499" s="52" t="s">
        <v>58</v>
      </c>
      <c r="B499" s="53">
        <v>12</v>
      </c>
      <c r="C499" s="152" t="str">
        <f t="shared" si="42"/>
        <v>1h</v>
      </c>
      <c r="D499" s="166" t="s">
        <v>130</v>
      </c>
      <c r="E499" s="239"/>
      <c r="F499" s="240"/>
      <c r="G499" s="50"/>
    </row>
    <row r="500" spans="1:7" s="51" customFormat="1">
      <c r="A500" s="53"/>
      <c r="B500" s="53"/>
      <c r="C500" s="153" t="str">
        <f t="shared" si="42"/>
        <v/>
      </c>
      <c r="D500" s="54"/>
      <c r="E500" s="239"/>
      <c r="F500" s="240"/>
      <c r="G500" s="50"/>
    </row>
    <row r="501" spans="1:7" s="51" customFormat="1">
      <c r="A501" s="53"/>
      <c r="B501" s="53"/>
      <c r="C501" s="153" t="str">
        <f t="shared" si="42"/>
        <v/>
      </c>
      <c r="D501" s="54"/>
      <c r="E501" s="239"/>
      <c r="F501" s="240"/>
      <c r="G501" s="50"/>
    </row>
    <row r="502" spans="1:7" s="51" customFormat="1">
      <c r="A502" s="53"/>
      <c r="B502" s="53"/>
      <c r="C502" s="153" t="str">
        <f t="shared" si="42"/>
        <v/>
      </c>
      <c r="D502" s="54"/>
      <c r="E502" s="239"/>
      <c r="F502" s="240"/>
      <c r="G502" s="50"/>
    </row>
    <row r="503" spans="1:7" s="51" customFormat="1" ht="15" thickBot="1">
      <c r="A503" s="55"/>
      <c r="B503" s="55"/>
      <c r="C503" s="154" t="str">
        <f t="shared" si="42"/>
        <v/>
      </c>
      <c r="D503" s="56"/>
      <c r="E503" s="241"/>
      <c r="F503" s="242"/>
      <c r="G503" s="50"/>
    </row>
    <row r="504" spans="1:7" s="51" customFormat="1" ht="15" thickBot="1">
      <c r="A504" s="161" t="s">
        <v>27</v>
      </c>
      <c r="B504" s="82">
        <f>SUM(B496:B503)</f>
        <v>36</v>
      </c>
      <c r="C504" s="161" t="str">
        <f xml:space="preserve"> setValueToTime(B504)</f>
        <v>3h</v>
      </c>
      <c r="D504" s="120"/>
      <c r="E504" s="243"/>
      <c r="F504" s="244"/>
      <c r="G504" s="50"/>
    </row>
    <row r="505" spans="1:7" s="58" customFormat="1" ht="15" thickBot="1">
      <c r="A505" s="76"/>
      <c r="B505" s="76"/>
      <c r="C505" s="76"/>
      <c r="D505" s="76"/>
      <c r="E505" s="76"/>
      <c r="F505" s="76"/>
      <c r="G505" s="57"/>
    </row>
    <row r="506" spans="1:7" s="46" customFormat="1" ht="30" customHeight="1" thickBot="1">
      <c r="A506" s="155" t="s">
        <v>11</v>
      </c>
      <c r="B506" s="163">
        <v>6</v>
      </c>
      <c r="C506" s="163"/>
      <c r="D506" s="156" t="s">
        <v>14</v>
      </c>
      <c r="E506" s="157" t="s">
        <v>104</v>
      </c>
      <c r="F506" s="158" t="s">
        <v>91</v>
      </c>
      <c r="G506" s="45"/>
    </row>
    <row r="507" spans="1:7" s="46" customFormat="1" ht="30" customHeight="1" thickBot="1">
      <c r="A507" s="77" t="s">
        <v>4</v>
      </c>
      <c r="B507" s="160" t="s">
        <v>38</v>
      </c>
      <c r="C507" s="159"/>
      <c r="D507" s="77" t="s">
        <v>12</v>
      </c>
      <c r="E507" s="245" t="s">
        <v>13</v>
      </c>
      <c r="F507" s="246"/>
      <c r="G507" s="45"/>
    </row>
    <row r="508" spans="1:7" s="51" customFormat="1" ht="81">
      <c r="A508" s="47" t="s">
        <v>57</v>
      </c>
      <c r="B508" s="48">
        <v>24</v>
      </c>
      <c r="C508" s="151" t="str">
        <f xml:space="preserve"> IF(B508="","",setValueToTime(B508))</f>
        <v>2h</v>
      </c>
      <c r="D508" s="165" t="s">
        <v>107</v>
      </c>
      <c r="E508" s="237"/>
      <c r="F508" s="238"/>
      <c r="G508" s="50"/>
    </row>
    <row r="509" spans="1:7" s="51" customFormat="1" ht="27">
      <c r="A509" s="52" t="s">
        <v>66</v>
      </c>
      <c r="B509" s="53">
        <v>9</v>
      </c>
      <c r="C509" s="152" t="str">
        <f t="shared" ref="C509:C515" si="43" xml:space="preserve"> IF(B509="","",setValueToTime(B509))</f>
        <v>0h45min</v>
      </c>
      <c r="D509" s="166" t="s">
        <v>108</v>
      </c>
      <c r="E509" s="239"/>
      <c r="F509" s="240"/>
      <c r="G509" s="50"/>
    </row>
    <row r="510" spans="1:7" s="51" customFormat="1">
      <c r="A510" s="52" t="s">
        <v>15</v>
      </c>
      <c r="B510" s="53">
        <v>3</v>
      </c>
      <c r="C510" s="152" t="str">
        <f t="shared" si="43"/>
        <v>0h15min</v>
      </c>
      <c r="D510" s="166" t="s">
        <v>106</v>
      </c>
      <c r="E510" s="239"/>
      <c r="F510" s="240"/>
      <c r="G510" s="50"/>
    </row>
    <row r="511" spans="1:7" s="51" customFormat="1">
      <c r="A511" s="52"/>
      <c r="B511" s="53"/>
      <c r="C511" s="152" t="str">
        <f t="shared" si="43"/>
        <v/>
      </c>
      <c r="D511" s="54"/>
      <c r="E511" s="239"/>
      <c r="F511" s="240"/>
      <c r="G511" s="50"/>
    </row>
    <row r="512" spans="1:7" s="51" customFormat="1">
      <c r="A512" s="53"/>
      <c r="B512" s="53"/>
      <c r="C512" s="153" t="str">
        <f t="shared" si="43"/>
        <v/>
      </c>
      <c r="D512" s="54"/>
      <c r="E512" s="239"/>
      <c r="F512" s="240"/>
      <c r="G512" s="50"/>
    </row>
    <row r="513" spans="1:7" s="51" customFormat="1">
      <c r="A513" s="53"/>
      <c r="B513" s="53"/>
      <c r="C513" s="153" t="str">
        <f t="shared" si="43"/>
        <v/>
      </c>
      <c r="D513" s="54"/>
      <c r="E513" s="239"/>
      <c r="F513" s="240"/>
      <c r="G513" s="50"/>
    </row>
    <row r="514" spans="1:7" s="51" customFormat="1">
      <c r="A514" s="53"/>
      <c r="B514" s="53"/>
      <c r="C514" s="153" t="str">
        <f t="shared" si="43"/>
        <v/>
      </c>
      <c r="D514" s="54"/>
      <c r="E514" s="239"/>
      <c r="F514" s="240"/>
      <c r="G514" s="50"/>
    </row>
    <row r="515" spans="1:7" s="51" customFormat="1" ht="15" thickBot="1">
      <c r="A515" s="55"/>
      <c r="B515" s="55"/>
      <c r="C515" s="154" t="str">
        <f t="shared" si="43"/>
        <v/>
      </c>
      <c r="D515" s="56"/>
      <c r="E515" s="241"/>
      <c r="F515" s="242"/>
      <c r="G515" s="50"/>
    </row>
    <row r="516" spans="1:7" s="51" customFormat="1" ht="15" thickBot="1">
      <c r="A516" s="161" t="s">
        <v>27</v>
      </c>
      <c r="B516" s="82">
        <f>SUM(B508:B515)</f>
        <v>36</v>
      </c>
      <c r="C516" s="161" t="str">
        <f xml:space="preserve"> setValueToTime(B516)</f>
        <v>3h</v>
      </c>
      <c r="D516" s="120"/>
      <c r="E516" s="243"/>
      <c r="F516" s="244"/>
      <c r="G516" s="50"/>
    </row>
    <row r="517" spans="1:7" s="58" customFormat="1" ht="15" thickBot="1">
      <c r="A517" s="76"/>
      <c r="B517" s="76"/>
      <c r="C517" s="76"/>
      <c r="D517" s="76"/>
      <c r="E517" s="76"/>
      <c r="F517" s="76"/>
      <c r="G517" s="57"/>
    </row>
    <row r="518" spans="1:7" s="46" customFormat="1" ht="30" customHeight="1" thickBot="1">
      <c r="A518" s="155" t="s">
        <v>11</v>
      </c>
      <c r="B518" s="163">
        <v>5</v>
      </c>
      <c r="C518" s="163"/>
      <c r="D518" s="156" t="s">
        <v>14</v>
      </c>
      <c r="E518" s="157" t="s">
        <v>104</v>
      </c>
      <c r="F518" s="158" t="s">
        <v>86</v>
      </c>
      <c r="G518" s="45"/>
    </row>
    <row r="519" spans="1:7" s="46" customFormat="1" ht="30" customHeight="1" thickBot="1">
      <c r="A519" s="77" t="s">
        <v>4</v>
      </c>
      <c r="B519" s="160" t="s">
        <v>38</v>
      </c>
      <c r="C519" s="159"/>
      <c r="D519" s="77" t="s">
        <v>12</v>
      </c>
      <c r="E519" s="245" t="s">
        <v>13</v>
      </c>
      <c r="F519" s="246"/>
      <c r="G519" s="45"/>
    </row>
    <row r="520" spans="1:7" s="51" customFormat="1" ht="148.5">
      <c r="A520" s="47" t="s">
        <v>58</v>
      </c>
      <c r="B520" s="48">
        <v>33</v>
      </c>
      <c r="C520" s="151" t="str">
        <f xml:space="preserve"> IF(B520="","",setValueToTime(B520))</f>
        <v>2h45min</v>
      </c>
      <c r="D520" s="165" t="s">
        <v>105</v>
      </c>
      <c r="E520" s="237"/>
      <c r="F520" s="238"/>
      <c r="G520" s="50"/>
    </row>
    <row r="521" spans="1:7" s="51" customFormat="1">
      <c r="A521" s="52" t="s">
        <v>15</v>
      </c>
      <c r="B521" s="53">
        <v>3</v>
      </c>
      <c r="C521" s="152" t="str">
        <f t="shared" ref="C521:C527" si="44" xml:space="preserve"> IF(B521="","",setValueToTime(B521))</f>
        <v>0h15min</v>
      </c>
      <c r="D521" s="166" t="s">
        <v>106</v>
      </c>
      <c r="E521" s="239"/>
      <c r="F521" s="240"/>
      <c r="G521" s="50"/>
    </row>
    <row r="522" spans="1:7" s="51" customFormat="1">
      <c r="A522" s="52"/>
      <c r="B522" s="53"/>
      <c r="C522" s="152" t="str">
        <f t="shared" si="44"/>
        <v/>
      </c>
      <c r="D522" s="54"/>
      <c r="E522" s="239"/>
      <c r="F522" s="240"/>
      <c r="G522" s="50"/>
    </row>
    <row r="523" spans="1:7" s="51" customFormat="1">
      <c r="A523" s="52"/>
      <c r="B523" s="53"/>
      <c r="C523" s="152" t="str">
        <f t="shared" si="44"/>
        <v/>
      </c>
      <c r="D523" s="54"/>
      <c r="E523" s="239"/>
      <c r="F523" s="240"/>
      <c r="G523" s="50"/>
    </row>
    <row r="524" spans="1:7" s="51" customFormat="1">
      <c r="A524" s="53"/>
      <c r="B524" s="53"/>
      <c r="C524" s="153" t="str">
        <f t="shared" si="44"/>
        <v/>
      </c>
      <c r="D524" s="54"/>
      <c r="E524" s="239"/>
      <c r="F524" s="240"/>
      <c r="G524" s="50"/>
    </row>
    <row r="525" spans="1:7" s="51" customFormat="1">
      <c r="A525" s="53"/>
      <c r="B525" s="53"/>
      <c r="C525" s="153" t="str">
        <f t="shared" si="44"/>
        <v/>
      </c>
      <c r="D525" s="54"/>
      <c r="E525" s="239"/>
      <c r="F525" s="240"/>
      <c r="G525" s="50"/>
    </row>
    <row r="526" spans="1:7" s="51" customFormat="1">
      <c r="A526" s="53"/>
      <c r="B526" s="53"/>
      <c r="C526" s="153" t="str">
        <f t="shared" si="44"/>
        <v/>
      </c>
      <c r="D526" s="54"/>
      <c r="E526" s="239"/>
      <c r="F526" s="240"/>
      <c r="G526" s="50"/>
    </row>
    <row r="527" spans="1:7" s="51" customFormat="1" ht="15" thickBot="1">
      <c r="A527" s="55"/>
      <c r="B527" s="55"/>
      <c r="C527" s="154" t="str">
        <f t="shared" si="44"/>
        <v/>
      </c>
      <c r="D527" s="56"/>
      <c r="E527" s="241"/>
      <c r="F527" s="242"/>
      <c r="G527" s="50"/>
    </row>
    <row r="528" spans="1:7" s="51" customFormat="1" ht="15" thickBot="1">
      <c r="A528" s="161" t="s">
        <v>27</v>
      </c>
      <c r="B528" s="82">
        <f>SUM(B520:B527)</f>
        <v>36</v>
      </c>
      <c r="C528" s="161" t="str">
        <f xml:space="preserve"> setValueToTime(B528)</f>
        <v>3h</v>
      </c>
      <c r="D528" s="120"/>
      <c r="E528" s="243"/>
      <c r="F528" s="244"/>
      <c r="G528" s="50"/>
    </row>
    <row r="529" spans="1:7" s="58" customFormat="1" ht="15" thickBot="1">
      <c r="A529" s="76"/>
      <c r="B529" s="76"/>
      <c r="C529" s="76"/>
      <c r="D529" s="76"/>
      <c r="E529" s="76"/>
      <c r="F529" s="76"/>
      <c r="G529" s="57"/>
    </row>
    <row r="530" spans="1:7" s="46" customFormat="1" ht="30" customHeight="1" thickBot="1">
      <c r="A530" s="155" t="s">
        <v>11</v>
      </c>
      <c r="B530" s="163">
        <v>4</v>
      </c>
      <c r="C530" s="163"/>
      <c r="D530" s="156" t="s">
        <v>14</v>
      </c>
      <c r="E530" s="157" t="s">
        <v>97</v>
      </c>
      <c r="F530" s="158" t="s">
        <v>91</v>
      </c>
      <c r="G530" s="45"/>
    </row>
    <row r="531" spans="1:7" s="46" customFormat="1" ht="30" customHeight="1" thickBot="1">
      <c r="A531" s="77" t="s">
        <v>4</v>
      </c>
      <c r="B531" s="160" t="s">
        <v>38</v>
      </c>
      <c r="C531" s="159"/>
      <c r="D531" s="77" t="s">
        <v>12</v>
      </c>
      <c r="E531" s="245" t="s">
        <v>13</v>
      </c>
      <c r="F531" s="246"/>
      <c r="G531" s="45"/>
    </row>
    <row r="532" spans="1:7" s="51" customFormat="1" ht="81">
      <c r="A532" s="47" t="s">
        <v>58</v>
      </c>
      <c r="B532" s="48">
        <v>33</v>
      </c>
      <c r="C532" s="151" t="str">
        <f xml:space="preserve"> IF(B532="","",setValueToTime(B532))</f>
        <v>2h45min</v>
      </c>
      <c r="D532" s="165" t="s">
        <v>102</v>
      </c>
      <c r="E532" s="237"/>
      <c r="F532" s="238"/>
      <c r="G532" s="50"/>
    </row>
    <row r="533" spans="1:7" s="51" customFormat="1">
      <c r="A533" s="52" t="s">
        <v>15</v>
      </c>
      <c r="B533" s="53">
        <v>3</v>
      </c>
      <c r="C533" s="152" t="str">
        <f t="shared" ref="C533:C539" si="45" xml:space="preserve"> IF(B533="","",setValueToTime(B533))</f>
        <v>0h15min</v>
      </c>
      <c r="D533" s="166" t="s">
        <v>103</v>
      </c>
      <c r="E533" s="239"/>
      <c r="F533" s="240"/>
      <c r="G533" s="50"/>
    </row>
    <row r="534" spans="1:7" s="51" customFormat="1">
      <c r="A534" s="52"/>
      <c r="B534" s="53"/>
      <c r="C534" s="152" t="str">
        <f t="shared" si="45"/>
        <v/>
      </c>
      <c r="D534" s="54"/>
      <c r="E534" s="239"/>
      <c r="F534" s="240"/>
      <c r="G534" s="50"/>
    </row>
    <row r="535" spans="1:7" s="51" customFormat="1">
      <c r="A535" s="52"/>
      <c r="B535" s="53"/>
      <c r="C535" s="152" t="str">
        <f t="shared" si="45"/>
        <v/>
      </c>
      <c r="D535" s="54"/>
      <c r="E535" s="239"/>
      <c r="F535" s="240"/>
      <c r="G535" s="50"/>
    </row>
    <row r="536" spans="1:7" s="51" customFormat="1">
      <c r="A536" s="53"/>
      <c r="B536" s="53"/>
      <c r="C536" s="153" t="str">
        <f t="shared" si="45"/>
        <v/>
      </c>
      <c r="D536" s="54"/>
      <c r="E536" s="239"/>
      <c r="F536" s="240"/>
      <c r="G536" s="50"/>
    </row>
    <row r="537" spans="1:7" s="51" customFormat="1">
      <c r="A537" s="53"/>
      <c r="B537" s="53"/>
      <c r="C537" s="153" t="str">
        <f t="shared" si="45"/>
        <v/>
      </c>
      <c r="D537" s="54"/>
      <c r="E537" s="239"/>
      <c r="F537" s="240"/>
      <c r="G537" s="50"/>
    </row>
    <row r="538" spans="1:7" s="51" customFormat="1">
      <c r="A538" s="53"/>
      <c r="B538" s="53"/>
      <c r="C538" s="153" t="str">
        <f t="shared" si="45"/>
        <v/>
      </c>
      <c r="D538" s="54"/>
      <c r="E538" s="239"/>
      <c r="F538" s="240"/>
      <c r="G538" s="50"/>
    </row>
    <row r="539" spans="1:7" s="51" customFormat="1" ht="15" thickBot="1">
      <c r="A539" s="55"/>
      <c r="B539" s="55"/>
      <c r="C539" s="154" t="str">
        <f t="shared" si="45"/>
        <v/>
      </c>
      <c r="D539" s="56"/>
      <c r="E539" s="241"/>
      <c r="F539" s="242"/>
      <c r="G539" s="50"/>
    </row>
    <row r="540" spans="1:7" s="51" customFormat="1" ht="15" thickBot="1">
      <c r="A540" s="161" t="s">
        <v>27</v>
      </c>
      <c r="B540" s="82">
        <f>SUM(B532:B539)</f>
        <v>36</v>
      </c>
      <c r="C540" s="161" t="str">
        <f xml:space="preserve"> setValueToTime(B540)</f>
        <v>3h</v>
      </c>
      <c r="D540" s="120"/>
      <c r="E540" s="243"/>
      <c r="F540" s="244"/>
      <c r="G540" s="50"/>
    </row>
    <row r="541" spans="1:7" s="58" customFormat="1" ht="15" thickBot="1">
      <c r="A541" s="76"/>
      <c r="B541" s="76"/>
      <c r="C541" s="76"/>
      <c r="D541" s="76"/>
      <c r="E541" s="76"/>
      <c r="F541" s="76"/>
      <c r="G541" s="57"/>
    </row>
    <row r="542" spans="1:7" s="46" customFormat="1" ht="30" customHeight="1" thickBot="1">
      <c r="A542" s="155" t="s">
        <v>11</v>
      </c>
      <c r="B542" s="163">
        <v>3</v>
      </c>
      <c r="C542" s="163"/>
      <c r="D542" s="156" t="s">
        <v>14</v>
      </c>
      <c r="E542" s="157" t="s">
        <v>97</v>
      </c>
      <c r="F542" s="158" t="s">
        <v>86</v>
      </c>
      <c r="G542" s="45"/>
    </row>
    <row r="543" spans="1:7" s="46" customFormat="1" ht="30" customHeight="1" thickBot="1">
      <c r="A543" s="77" t="s">
        <v>4</v>
      </c>
      <c r="B543" s="160" t="s">
        <v>38</v>
      </c>
      <c r="C543" s="159"/>
      <c r="D543" s="77" t="s">
        <v>12</v>
      </c>
      <c r="E543" s="245" t="s">
        <v>13</v>
      </c>
      <c r="F543" s="246"/>
      <c r="G543" s="45"/>
    </row>
    <row r="544" spans="1:7" s="51" customFormat="1">
      <c r="A544" s="47" t="s">
        <v>56</v>
      </c>
      <c r="B544" s="48">
        <v>3</v>
      </c>
      <c r="C544" s="151" t="str">
        <f xml:space="preserve"> IF(B544="","",setValueToTime(B544))</f>
        <v>0h15min</v>
      </c>
      <c r="D544" s="165" t="s">
        <v>98</v>
      </c>
      <c r="E544" s="237"/>
      <c r="F544" s="238"/>
      <c r="G544" s="50"/>
    </row>
    <row r="545" spans="1:7" s="51" customFormat="1">
      <c r="A545" s="52" t="s">
        <v>50</v>
      </c>
      <c r="B545" s="53">
        <v>15</v>
      </c>
      <c r="C545" s="152" t="str">
        <f t="shared" ref="C545:C551" si="46" xml:space="preserve"> IF(B545="","",setValueToTime(B545))</f>
        <v>1h15min</v>
      </c>
      <c r="D545" s="166" t="s">
        <v>99</v>
      </c>
      <c r="E545" s="239"/>
      <c r="F545" s="240"/>
      <c r="G545" s="50"/>
    </row>
    <row r="546" spans="1:7" s="51" customFormat="1" ht="27">
      <c r="A546" s="52" t="s">
        <v>52</v>
      </c>
      <c r="B546" s="53">
        <v>6</v>
      </c>
      <c r="C546" s="152" t="str">
        <f t="shared" si="46"/>
        <v>0h30min</v>
      </c>
      <c r="D546" s="166" t="s">
        <v>100</v>
      </c>
      <c r="E546" s="239"/>
      <c r="F546" s="240"/>
      <c r="G546" s="50"/>
    </row>
    <row r="547" spans="1:7" s="51" customFormat="1" ht="67.5">
      <c r="A547" s="52" t="s">
        <v>58</v>
      </c>
      <c r="B547" s="53">
        <v>12</v>
      </c>
      <c r="C547" s="152" t="str">
        <f t="shared" si="46"/>
        <v>1h</v>
      </c>
      <c r="D547" s="166" t="s">
        <v>101</v>
      </c>
      <c r="E547" s="239"/>
      <c r="F547" s="240"/>
      <c r="G547" s="50"/>
    </row>
    <row r="548" spans="1:7" s="51" customFormat="1">
      <c r="A548" s="53"/>
      <c r="B548" s="53"/>
      <c r="C548" s="153" t="str">
        <f t="shared" si="46"/>
        <v/>
      </c>
      <c r="D548" s="54"/>
      <c r="E548" s="239"/>
      <c r="F548" s="240"/>
      <c r="G548" s="50"/>
    </row>
    <row r="549" spans="1:7" s="51" customFormat="1">
      <c r="A549" s="53"/>
      <c r="B549" s="53"/>
      <c r="C549" s="153" t="str">
        <f t="shared" si="46"/>
        <v/>
      </c>
      <c r="D549" s="54"/>
      <c r="E549" s="239"/>
      <c r="F549" s="240"/>
      <c r="G549" s="50"/>
    </row>
    <row r="550" spans="1:7" s="51" customFormat="1">
      <c r="A550" s="53"/>
      <c r="B550" s="53"/>
      <c r="C550" s="153" t="str">
        <f t="shared" si="46"/>
        <v/>
      </c>
      <c r="D550" s="54"/>
      <c r="E550" s="239"/>
      <c r="F550" s="240"/>
      <c r="G550" s="50"/>
    </row>
    <row r="551" spans="1:7" s="51" customFormat="1" ht="15" thickBot="1">
      <c r="A551" s="55"/>
      <c r="B551" s="55"/>
      <c r="C551" s="154" t="str">
        <f t="shared" si="46"/>
        <v/>
      </c>
      <c r="D551" s="56"/>
      <c r="E551" s="241"/>
      <c r="F551" s="242"/>
      <c r="G551" s="50"/>
    </row>
    <row r="552" spans="1:7" s="51" customFormat="1" ht="15" thickBot="1">
      <c r="A552" s="161" t="s">
        <v>27</v>
      </c>
      <c r="B552" s="82">
        <f>SUM(B544:B551)</f>
        <v>36</v>
      </c>
      <c r="C552" s="161" t="str">
        <f xml:space="preserve"> setValueToTime(B552)</f>
        <v>3h</v>
      </c>
      <c r="D552" s="120"/>
      <c r="E552" s="243"/>
      <c r="F552" s="244"/>
      <c r="G552" s="50"/>
    </row>
    <row r="553" spans="1:7" s="58" customFormat="1" ht="15" thickBot="1">
      <c r="A553" s="76"/>
      <c r="B553" s="76"/>
      <c r="C553" s="76"/>
      <c r="D553" s="76"/>
      <c r="E553" s="76"/>
      <c r="F553" s="76"/>
      <c r="G553" s="57"/>
    </row>
    <row r="554" spans="1:7" s="46" customFormat="1" ht="30" customHeight="1" thickBot="1">
      <c r="A554" s="155" t="s">
        <v>11</v>
      </c>
      <c r="B554" s="163">
        <v>2</v>
      </c>
      <c r="C554" s="163"/>
      <c r="D554" s="156" t="s">
        <v>14</v>
      </c>
      <c r="E554" s="157" t="s">
        <v>71</v>
      </c>
      <c r="F554" s="158" t="s">
        <v>75</v>
      </c>
      <c r="G554" s="45"/>
    </row>
    <row r="555" spans="1:7" s="46" customFormat="1" ht="30" customHeight="1" thickBot="1">
      <c r="A555" s="77" t="s">
        <v>4</v>
      </c>
      <c r="B555" s="160" t="s">
        <v>38</v>
      </c>
      <c r="C555" s="159"/>
      <c r="D555" s="77" t="s">
        <v>12</v>
      </c>
      <c r="E555" s="245" t="s">
        <v>13</v>
      </c>
      <c r="F555" s="246"/>
      <c r="G555" s="45"/>
    </row>
    <row r="556" spans="1:7" s="51" customFormat="1" ht="67.5">
      <c r="A556" s="47" t="s">
        <v>58</v>
      </c>
      <c r="B556" s="48">
        <v>33</v>
      </c>
      <c r="C556" s="151" t="str">
        <f xml:space="preserve"> IF(B556="","",setValueToTime(B556))</f>
        <v>2h45min</v>
      </c>
      <c r="D556" s="165" t="s">
        <v>84</v>
      </c>
      <c r="E556" s="237"/>
      <c r="F556" s="238"/>
      <c r="G556" s="50"/>
    </row>
    <row r="557" spans="1:7" s="51" customFormat="1">
      <c r="A557" s="52" t="s">
        <v>15</v>
      </c>
      <c r="B557" s="53">
        <v>3</v>
      </c>
      <c r="C557" s="152" t="str">
        <f t="shared" ref="C557:C563" si="47" xml:space="preserve"> IF(B557="","",setValueToTime(B557))</f>
        <v>0h15min</v>
      </c>
      <c r="D557" s="166" t="s">
        <v>85</v>
      </c>
      <c r="E557" s="239"/>
      <c r="F557" s="240"/>
      <c r="G557" s="50"/>
    </row>
    <row r="558" spans="1:7" s="51" customFormat="1">
      <c r="A558" s="52"/>
      <c r="B558" s="53"/>
      <c r="C558" s="152" t="str">
        <f t="shared" si="47"/>
        <v/>
      </c>
      <c r="D558" s="54"/>
      <c r="E558" s="239"/>
      <c r="F558" s="240"/>
      <c r="G558" s="50"/>
    </row>
    <row r="559" spans="1:7" s="51" customFormat="1">
      <c r="A559" s="52"/>
      <c r="B559" s="53"/>
      <c r="C559" s="152" t="str">
        <f t="shared" si="47"/>
        <v/>
      </c>
      <c r="D559" s="54"/>
      <c r="E559" s="239"/>
      <c r="F559" s="240"/>
      <c r="G559" s="50"/>
    </row>
    <row r="560" spans="1:7" s="51" customFormat="1">
      <c r="A560" s="53"/>
      <c r="B560" s="53"/>
      <c r="C560" s="153" t="str">
        <f t="shared" si="47"/>
        <v/>
      </c>
      <c r="D560" s="54"/>
      <c r="E560" s="239"/>
      <c r="F560" s="240"/>
      <c r="G560" s="50"/>
    </row>
    <row r="561" spans="1:7" s="51" customFormat="1">
      <c r="A561" s="53"/>
      <c r="B561" s="53"/>
      <c r="C561" s="153" t="str">
        <f t="shared" si="47"/>
        <v/>
      </c>
      <c r="D561" s="54"/>
      <c r="E561" s="239"/>
      <c r="F561" s="240"/>
      <c r="G561" s="50"/>
    </row>
    <row r="562" spans="1:7" s="51" customFormat="1">
      <c r="A562" s="53"/>
      <c r="B562" s="53"/>
      <c r="C562" s="153" t="str">
        <f t="shared" si="47"/>
        <v/>
      </c>
      <c r="D562" s="54"/>
      <c r="E562" s="239"/>
      <c r="F562" s="240"/>
      <c r="G562" s="50"/>
    </row>
    <row r="563" spans="1:7" s="51" customFormat="1" ht="15" thickBot="1">
      <c r="A563" s="55"/>
      <c r="B563" s="55"/>
      <c r="C563" s="154" t="str">
        <f t="shared" si="47"/>
        <v/>
      </c>
      <c r="D563" s="56"/>
      <c r="E563" s="241"/>
      <c r="F563" s="242"/>
      <c r="G563" s="50"/>
    </row>
    <row r="564" spans="1:7" s="51" customFormat="1" ht="15" thickBot="1">
      <c r="A564" s="161" t="s">
        <v>27</v>
      </c>
      <c r="B564" s="82">
        <f>SUM(B556:B563)</f>
        <v>36</v>
      </c>
      <c r="C564" s="161" t="str">
        <f xml:space="preserve"> setValueToTime(B564)</f>
        <v>3h</v>
      </c>
      <c r="D564" s="120"/>
      <c r="E564" s="243"/>
      <c r="F564" s="244"/>
      <c r="G564" s="50"/>
    </row>
    <row r="565" spans="1:7" s="58" customFormat="1" ht="15" thickBot="1">
      <c r="A565" s="76"/>
      <c r="B565" s="76"/>
      <c r="C565" s="76"/>
      <c r="D565" s="76"/>
      <c r="E565" s="76"/>
      <c r="F565" s="76"/>
      <c r="G565" s="57"/>
    </row>
    <row r="566" spans="1:7" s="46" customFormat="1" ht="30" customHeight="1" thickBot="1">
      <c r="A566" s="155" t="s">
        <v>11</v>
      </c>
      <c r="B566" s="163">
        <v>1</v>
      </c>
      <c r="C566" s="163"/>
      <c r="D566" s="156" t="s">
        <v>14</v>
      </c>
      <c r="E566" s="157" t="s">
        <v>71</v>
      </c>
      <c r="F566" s="158" t="s">
        <v>74</v>
      </c>
      <c r="G566" s="45"/>
    </row>
    <row r="567" spans="1:7" s="46" customFormat="1" ht="30" customHeight="1" thickBot="1">
      <c r="A567" s="77" t="s">
        <v>4</v>
      </c>
      <c r="B567" s="160" t="s">
        <v>38</v>
      </c>
      <c r="C567" s="159"/>
      <c r="D567" s="77" t="s">
        <v>12</v>
      </c>
      <c r="E567" s="245" t="s">
        <v>13</v>
      </c>
      <c r="F567" s="246"/>
      <c r="G567" s="45"/>
    </row>
    <row r="568" spans="1:7" s="51" customFormat="1">
      <c r="A568" s="47" t="s">
        <v>51</v>
      </c>
      <c r="B568" s="48">
        <v>12</v>
      </c>
      <c r="C568" s="151" t="str">
        <f xml:space="preserve"> IF(B568="","",setValueToTime(B568))</f>
        <v>1h</v>
      </c>
      <c r="D568" s="165" t="s">
        <v>79</v>
      </c>
      <c r="E568" s="237"/>
      <c r="F568" s="238"/>
      <c r="G568" s="50"/>
    </row>
    <row r="569" spans="1:7" s="51" customFormat="1">
      <c r="A569" s="52" t="s">
        <v>56</v>
      </c>
      <c r="B569" s="53">
        <v>9</v>
      </c>
      <c r="C569" s="152" t="str">
        <f t="shared" ref="C569:C575" si="48" xml:space="preserve"> IF(B569="","",setValueToTime(B569))</f>
        <v>0h45min</v>
      </c>
      <c r="D569" s="166" t="s">
        <v>69</v>
      </c>
      <c r="E569" s="239"/>
      <c r="F569" s="240"/>
      <c r="G569" s="50"/>
    </row>
    <row r="570" spans="1:7" s="51" customFormat="1" ht="27">
      <c r="A570" s="52" t="s">
        <v>64</v>
      </c>
      <c r="B570" s="53">
        <v>9</v>
      </c>
      <c r="C570" s="152" t="str">
        <f t="shared" si="48"/>
        <v>0h45min</v>
      </c>
      <c r="D570" s="166" t="s">
        <v>81</v>
      </c>
      <c r="E570" s="247" t="s">
        <v>80</v>
      </c>
      <c r="F570" s="240"/>
      <c r="G570" s="50"/>
    </row>
    <row r="571" spans="1:7" s="51" customFormat="1" ht="27">
      <c r="A571" s="52" t="s">
        <v>65</v>
      </c>
      <c r="B571" s="53">
        <v>3</v>
      </c>
      <c r="C571" s="152" t="str">
        <f t="shared" si="48"/>
        <v>0h15min</v>
      </c>
      <c r="D571" s="166" t="s">
        <v>82</v>
      </c>
      <c r="E571" s="239"/>
      <c r="F571" s="240"/>
      <c r="G571" s="50"/>
    </row>
    <row r="572" spans="1:7" s="51" customFormat="1" ht="40.5">
      <c r="A572" s="53" t="s">
        <v>58</v>
      </c>
      <c r="B572" s="53">
        <v>18</v>
      </c>
      <c r="C572" s="153" t="str">
        <f t="shared" si="48"/>
        <v>1h30min</v>
      </c>
      <c r="D572" s="166" t="s">
        <v>83</v>
      </c>
      <c r="E572" s="239"/>
      <c r="F572" s="240"/>
      <c r="G572" s="50"/>
    </row>
    <row r="573" spans="1:7" s="51" customFormat="1">
      <c r="A573" s="53"/>
      <c r="B573" s="53"/>
      <c r="C573" s="153" t="str">
        <f t="shared" si="48"/>
        <v/>
      </c>
      <c r="D573" s="54"/>
      <c r="E573" s="239"/>
      <c r="F573" s="240"/>
      <c r="G573" s="50"/>
    </row>
    <row r="574" spans="1:7" s="51" customFormat="1">
      <c r="A574" s="53"/>
      <c r="B574" s="53"/>
      <c r="C574" s="153" t="str">
        <f t="shared" si="48"/>
        <v/>
      </c>
      <c r="D574" s="54"/>
      <c r="E574" s="239"/>
      <c r="F574" s="240"/>
      <c r="G574" s="50"/>
    </row>
    <row r="575" spans="1:7" s="51" customFormat="1" ht="15" thickBot="1">
      <c r="A575" s="55"/>
      <c r="B575" s="55"/>
      <c r="C575" s="154" t="str">
        <f t="shared" si="48"/>
        <v/>
      </c>
      <c r="D575" s="56"/>
      <c r="E575" s="241"/>
      <c r="F575" s="242"/>
      <c r="G575" s="50"/>
    </row>
    <row r="576" spans="1:7" s="51" customFormat="1" ht="27.75" thickBot="1">
      <c r="A576" s="161" t="s">
        <v>27</v>
      </c>
      <c r="B576" s="82">
        <f>SUM(B568:B575)</f>
        <v>51</v>
      </c>
      <c r="C576" s="161" t="str">
        <f xml:space="preserve"> setValueToTime(B576)</f>
        <v>4h15min</v>
      </c>
      <c r="D576" s="120"/>
      <c r="E576" s="243"/>
      <c r="F576" s="244"/>
      <c r="G576" s="50"/>
    </row>
    <row r="577" spans="1:7" s="58" customFormat="1">
      <c r="A577" s="76"/>
      <c r="B577" s="76"/>
      <c r="C577" s="76"/>
      <c r="D577" s="76"/>
      <c r="E577" s="76"/>
      <c r="F577" s="76"/>
      <c r="G577" s="57"/>
    </row>
  </sheetData>
  <sheetProtection formatRows="0" insertRows="0" insertHyperlinks="0" deleteRows="0" selectLockedCells="1"/>
  <mergeCells count="480">
    <mergeCell ref="E12:F12"/>
    <mergeCell ref="E3:F3"/>
    <mergeCell ref="E4:F4"/>
    <mergeCell ref="E5:F5"/>
    <mergeCell ref="E6:F6"/>
    <mergeCell ref="E7:F7"/>
    <mergeCell ref="E8:F8"/>
    <mergeCell ref="E9:F9"/>
    <mergeCell ref="E10:F10"/>
    <mergeCell ref="E11:F11"/>
    <mergeCell ref="E48:F48"/>
    <mergeCell ref="E39:F39"/>
    <mergeCell ref="E40:F40"/>
    <mergeCell ref="E41:F41"/>
    <mergeCell ref="E42:F42"/>
    <mergeCell ref="E43:F43"/>
    <mergeCell ref="E44:F44"/>
    <mergeCell ref="E45:F45"/>
    <mergeCell ref="E46:F46"/>
    <mergeCell ref="E47:F47"/>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19:F219"/>
    <mergeCell ref="E220:F220"/>
    <mergeCell ref="E221:F221"/>
    <mergeCell ref="E222:F222"/>
    <mergeCell ref="E223:F223"/>
    <mergeCell ref="E224:F224"/>
    <mergeCell ref="E225:F225"/>
    <mergeCell ref="E226:F226"/>
    <mergeCell ref="E227:F227"/>
    <mergeCell ref="E252:F252"/>
    <mergeCell ref="E243:F243"/>
    <mergeCell ref="E244:F244"/>
    <mergeCell ref="E245:F245"/>
    <mergeCell ref="E246:F246"/>
    <mergeCell ref="E247:F247"/>
    <mergeCell ref="E248:F248"/>
    <mergeCell ref="E249:F249"/>
    <mergeCell ref="E250:F250"/>
    <mergeCell ref="E251:F25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60:F360"/>
    <mergeCell ref="E339:F339"/>
    <mergeCell ref="E340:F340"/>
    <mergeCell ref="E341:F341"/>
    <mergeCell ref="E342:F342"/>
    <mergeCell ref="E343:F343"/>
    <mergeCell ref="E344:F344"/>
    <mergeCell ref="E345:F345"/>
    <mergeCell ref="E346:F346"/>
    <mergeCell ref="E347:F347"/>
    <mergeCell ref="E348:F348"/>
    <mergeCell ref="E351:F351"/>
    <mergeCell ref="E352:F352"/>
    <mergeCell ref="E353:F353"/>
    <mergeCell ref="E354:F354"/>
    <mergeCell ref="E355:F355"/>
    <mergeCell ref="E356:F356"/>
    <mergeCell ref="E357:F357"/>
    <mergeCell ref="E358:F358"/>
    <mergeCell ref="E359:F359"/>
    <mergeCell ref="E420:F420"/>
    <mergeCell ref="E399:F399"/>
    <mergeCell ref="E400:F400"/>
    <mergeCell ref="E401:F401"/>
    <mergeCell ref="E402:F402"/>
    <mergeCell ref="E403:F403"/>
    <mergeCell ref="E404:F404"/>
    <mergeCell ref="E405:F405"/>
    <mergeCell ref="E406:F406"/>
    <mergeCell ref="E407:F407"/>
    <mergeCell ref="E408:F408"/>
    <mergeCell ref="E411:F411"/>
    <mergeCell ref="E412:F412"/>
    <mergeCell ref="E413:F413"/>
    <mergeCell ref="E414:F414"/>
    <mergeCell ref="E415:F415"/>
    <mergeCell ref="E416:F416"/>
    <mergeCell ref="E417:F417"/>
    <mergeCell ref="E418:F418"/>
    <mergeCell ref="E419:F419"/>
    <mergeCell ref="E468:F468"/>
    <mergeCell ref="E435:F435"/>
    <mergeCell ref="E436:F436"/>
    <mergeCell ref="E437:F437"/>
    <mergeCell ref="E438:F438"/>
    <mergeCell ref="E439:F439"/>
    <mergeCell ref="E440:F440"/>
    <mergeCell ref="E441:F441"/>
    <mergeCell ref="E442:F442"/>
    <mergeCell ref="E443:F443"/>
    <mergeCell ref="E444:F444"/>
    <mergeCell ref="E459:F459"/>
    <mergeCell ref="E460:F460"/>
    <mergeCell ref="E461:F461"/>
    <mergeCell ref="E462:F462"/>
    <mergeCell ref="E463:F463"/>
    <mergeCell ref="E464:F464"/>
    <mergeCell ref="E465:F465"/>
    <mergeCell ref="E466:F466"/>
    <mergeCell ref="E467:F467"/>
    <mergeCell ref="E492:F492"/>
    <mergeCell ref="E471:F471"/>
    <mergeCell ref="E472:F472"/>
    <mergeCell ref="E473:F473"/>
    <mergeCell ref="E474:F474"/>
    <mergeCell ref="E475:F475"/>
    <mergeCell ref="E476:F476"/>
    <mergeCell ref="E477:F477"/>
    <mergeCell ref="E478:F478"/>
    <mergeCell ref="E479:F479"/>
    <mergeCell ref="E480:F480"/>
    <mergeCell ref="E483:F483"/>
    <mergeCell ref="E484:F484"/>
    <mergeCell ref="E485:F485"/>
    <mergeCell ref="E486:F486"/>
    <mergeCell ref="E487:F487"/>
    <mergeCell ref="E488:F488"/>
    <mergeCell ref="E489:F489"/>
    <mergeCell ref="E490:F490"/>
    <mergeCell ref="E491:F491"/>
    <mergeCell ref="E507:F507"/>
    <mergeCell ref="E508:F508"/>
    <mergeCell ref="E509:F509"/>
    <mergeCell ref="E510:F510"/>
    <mergeCell ref="E511:F511"/>
    <mergeCell ref="E512:F512"/>
    <mergeCell ref="E513:F513"/>
    <mergeCell ref="E514:F514"/>
    <mergeCell ref="E515:F515"/>
    <mergeCell ref="E496:F496"/>
    <mergeCell ref="E497:F497"/>
    <mergeCell ref="E498:F498"/>
    <mergeCell ref="E499:F499"/>
    <mergeCell ref="E500:F500"/>
    <mergeCell ref="E501:F501"/>
    <mergeCell ref="E502:F502"/>
    <mergeCell ref="E503:F503"/>
    <mergeCell ref="E504:F504"/>
    <mergeCell ref="E544:F544"/>
    <mergeCell ref="E576:F576"/>
    <mergeCell ref="E555:F555"/>
    <mergeCell ref="E556:F556"/>
    <mergeCell ref="E557:F557"/>
    <mergeCell ref="E558:F558"/>
    <mergeCell ref="E559:F559"/>
    <mergeCell ref="E560:F560"/>
    <mergeCell ref="E567:F567"/>
    <mergeCell ref="E568:F568"/>
    <mergeCell ref="E569:F569"/>
    <mergeCell ref="E570:F570"/>
    <mergeCell ref="E571:F571"/>
    <mergeCell ref="E572:F572"/>
    <mergeCell ref="E564:F564"/>
    <mergeCell ref="E573:F573"/>
    <mergeCell ref="E575:F575"/>
    <mergeCell ref="E561:F561"/>
    <mergeCell ref="E562:F562"/>
    <mergeCell ref="E563:F563"/>
    <mergeCell ref="E548:F548"/>
    <mergeCell ref="E549:F549"/>
    <mergeCell ref="E550:F550"/>
    <mergeCell ref="E551:F551"/>
    <mergeCell ref="E552:F552"/>
    <mergeCell ref="E574:F574"/>
    <mergeCell ref="E545:F545"/>
    <mergeCell ref="E546:F546"/>
    <mergeCell ref="E547:F547"/>
    <mergeCell ref="E447:F447"/>
    <mergeCell ref="E448:F448"/>
    <mergeCell ref="E449:F449"/>
    <mergeCell ref="E450:F450"/>
    <mergeCell ref="E451:F451"/>
    <mergeCell ref="E452:F452"/>
    <mergeCell ref="E453:F453"/>
    <mergeCell ref="E454:F454"/>
    <mergeCell ref="E455:F455"/>
    <mergeCell ref="E456:F456"/>
    <mergeCell ref="E531:F531"/>
    <mergeCell ref="E532:F532"/>
    <mergeCell ref="E533:F533"/>
    <mergeCell ref="E534:F534"/>
    <mergeCell ref="E535:F535"/>
    <mergeCell ref="E536:F536"/>
    <mergeCell ref="E537:F537"/>
    <mergeCell ref="E538:F538"/>
    <mergeCell ref="E539:F539"/>
    <mergeCell ref="E540:F540"/>
    <mergeCell ref="E543:F543"/>
    <mergeCell ref="E423:F423"/>
    <mergeCell ref="E424:F424"/>
    <mergeCell ref="E425:F425"/>
    <mergeCell ref="E426:F426"/>
    <mergeCell ref="E427:F427"/>
    <mergeCell ref="E428:F428"/>
    <mergeCell ref="E429:F429"/>
    <mergeCell ref="E430:F430"/>
    <mergeCell ref="E431:F431"/>
    <mergeCell ref="E432:F432"/>
    <mergeCell ref="E527:F527"/>
    <mergeCell ref="E528:F528"/>
    <mergeCell ref="E519:F519"/>
    <mergeCell ref="E520:F520"/>
    <mergeCell ref="E521:F521"/>
    <mergeCell ref="E522:F522"/>
    <mergeCell ref="E523:F523"/>
    <mergeCell ref="E524:F524"/>
    <mergeCell ref="E525:F525"/>
    <mergeCell ref="E526:F526"/>
    <mergeCell ref="E516:F516"/>
    <mergeCell ref="E495:F495"/>
    <mergeCell ref="E396:F396"/>
    <mergeCell ref="E387:F387"/>
    <mergeCell ref="E388:F388"/>
    <mergeCell ref="E389:F389"/>
    <mergeCell ref="E390:F390"/>
    <mergeCell ref="E391:F391"/>
    <mergeCell ref="E392:F392"/>
    <mergeCell ref="E393:F393"/>
    <mergeCell ref="E394:F394"/>
    <mergeCell ref="E395:F395"/>
    <mergeCell ref="E384:F384"/>
    <mergeCell ref="E363:F363"/>
    <mergeCell ref="E364:F364"/>
    <mergeCell ref="E365:F365"/>
    <mergeCell ref="E366:F366"/>
    <mergeCell ref="E367:F367"/>
    <mergeCell ref="E368:F368"/>
    <mergeCell ref="E369:F369"/>
    <mergeCell ref="E370:F370"/>
    <mergeCell ref="E371:F371"/>
    <mergeCell ref="E372:F372"/>
    <mergeCell ref="E375:F375"/>
    <mergeCell ref="E376:F376"/>
    <mergeCell ref="E377:F377"/>
    <mergeCell ref="E378:F378"/>
    <mergeCell ref="E379:F379"/>
    <mergeCell ref="E380:F380"/>
    <mergeCell ref="E381:F381"/>
    <mergeCell ref="E382:F382"/>
    <mergeCell ref="E383:F383"/>
    <mergeCell ref="E336:F336"/>
    <mergeCell ref="E327:F327"/>
    <mergeCell ref="E328:F328"/>
    <mergeCell ref="E329:F329"/>
    <mergeCell ref="E330:F330"/>
    <mergeCell ref="E331:F331"/>
    <mergeCell ref="E332:F332"/>
    <mergeCell ref="E333:F333"/>
    <mergeCell ref="E334:F334"/>
    <mergeCell ref="E335:F335"/>
    <mergeCell ref="E300:F300"/>
    <mergeCell ref="E291:F291"/>
    <mergeCell ref="E292:F292"/>
    <mergeCell ref="E293:F293"/>
    <mergeCell ref="E294:F294"/>
    <mergeCell ref="E295:F295"/>
    <mergeCell ref="E296:F296"/>
    <mergeCell ref="E297:F297"/>
    <mergeCell ref="E298:F298"/>
    <mergeCell ref="E299:F299"/>
    <mergeCell ref="E264:F264"/>
    <mergeCell ref="E255:F255"/>
    <mergeCell ref="E256:F256"/>
    <mergeCell ref="E257:F257"/>
    <mergeCell ref="E258:F258"/>
    <mergeCell ref="E259:F259"/>
    <mergeCell ref="E260:F260"/>
    <mergeCell ref="E261:F261"/>
    <mergeCell ref="E262:F262"/>
    <mergeCell ref="E263:F263"/>
    <mergeCell ref="E240:F240"/>
    <mergeCell ref="E231:F231"/>
    <mergeCell ref="E232:F232"/>
    <mergeCell ref="E233:F233"/>
    <mergeCell ref="E234:F234"/>
    <mergeCell ref="E235:F235"/>
    <mergeCell ref="E236:F236"/>
    <mergeCell ref="E237:F237"/>
    <mergeCell ref="E238:F238"/>
    <mergeCell ref="E239:F239"/>
    <mergeCell ref="E216:F216"/>
    <mergeCell ref="E207:F207"/>
    <mergeCell ref="E208:F208"/>
    <mergeCell ref="E209:F209"/>
    <mergeCell ref="E210:F210"/>
    <mergeCell ref="E211:F211"/>
    <mergeCell ref="E212:F212"/>
    <mergeCell ref="E213:F213"/>
    <mergeCell ref="E214:F214"/>
    <mergeCell ref="E215:F215"/>
    <mergeCell ref="E156:F156"/>
    <mergeCell ref="E147:F147"/>
    <mergeCell ref="E148:F148"/>
    <mergeCell ref="E149:F149"/>
    <mergeCell ref="E150:F150"/>
    <mergeCell ref="E151:F151"/>
    <mergeCell ref="E152:F152"/>
    <mergeCell ref="E153:F153"/>
    <mergeCell ref="E154:F154"/>
    <mergeCell ref="E155:F155"/>
    <mergeCell ref="E120:F120"/>
    <mergeCell ref="E111:F111"/>
    <mergeCell ref="E112:F112"/>
    <mergeCell ref="E113:F113"/>
    <mergeCell ref="E114:F114"/>
    <mergeCell ref="E115:F115"/>
    <mergeCell ref="E116:F116"/>
    <mergeCell ref="E117:F117"/>
    <mergeCell ref="E118:F118"/>
    <mergeCell ref="E119:F11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76">
    <cfRule type="cellIs" dxfId="49" priority="48" operator="greaterThan">
      <formula>60</formula>
    </cfRule>
  </conditionalFormatting>
  <conditionalFormatting sqref="B564">
    <cfRule type="cellIs" dxfId="48" priority="47" operator="greaterThan">
      <formula>60</formula>
    </cfRule>
  </conditionalFormatting>
  <conditionalFormatting sqref="B552">
    <cfRule type="cellIs" dxfId="47" priority="46" operator="greaterThan">
      <formula>60</formula>
    </cfRule>
  </conditionalFormatting>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68:B575 B556:B563 B544:B551 B532:B539 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76 B564 B552 B540 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568:A575 A556:A563 A544:A551 A532:A539 A520:A527 A508:A515 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57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2021-03-22T10:22:49Z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