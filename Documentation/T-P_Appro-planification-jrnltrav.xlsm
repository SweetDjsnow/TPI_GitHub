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C5" i="12"/>
  <c r="C4" i="12"/>
  <c r="C12" i="12"/>
  <c r="B12" i="10" l="1"/>
  <c r="C11" i="10"/>
  <c r="C10" i="10"/>
  <c r="C9" i="10"/>
  <c r="C8" i="10"/>
  <c r="C7" i="10"/>
  <c r="C6" i="10"/>
  <c r="B24" i="10"/>
  <c r="C23" i="10"/>
  <c r="C22" i="10"/>
  <c r="C21" i="10"/>
  <c r="C20" i="10"/>
  <c r="C19" i="10"/>
  <c r="C18" i="10"/>
  <c r="B36" i="10"/>
  <c r="C35" i="10"/>
  <c r="C34" i="10"/>
  <c r="C33" i="10"/>
  <c r="C32" i="10"/>
  <c r="C31" i="10"/>
  <c r="C30" i="10"/>
  <c r="B24" i="12"/>
  <c r="C23" i="12"/>
  <c r="C22" i="12"/>
  <c r="C21" i="12"/>
  <c r="C20" i="12"/>
  <c r="C19" i="12"/>
  <c r="C18" i="12"/>
  <c r="C17" i="12"/>
  <c r="C16" i="12"/>
  <c r="C5" i="10"/>
  <c r="C4" i="10"/>
  <c r="C12" i="10"/>
  <c r="C17" i="10"/>
  <c r="C16" i="10"/>
  <c r="C24" i="10"/>
  <c r="C29" i="10"/>
  <c r="C28" i="10"/>
  <c r="C36" i="10"/>
  <c r="C24" i="12"/>
  <c r="B36" i="12" l="1"/>
  <c r="C35" i="12"/>
  <c r="C34" i="12"/>
  <c r="C33" i="12"/>
  <c r="C32" i="12"/>
  <c r="C31" i="12"/>
  <c r="C30" i="12"/>
  <c r="B48" i="12"/>
  <c r="C47" i="12"/>
  <c r="C46" i="12"/>
  <c r="C45" i="12"/>
  <c r="C44" i="12"/>
  <c r="C43" i="12"/>
  <c r="C42" i="12"/>
  <c r="C29" i="12"/>
  <c r="C28" i="12"/>
  <c r="C36" i="12"/>
  <c r="C41" i="12"/>
  <c r="C40" i="12"/>
  <c r="C48" i="12"/>
  <c r="B60" i="12" l="1"/>
  <c r="C59" i="12"/>
  <c r="C58" i="12"/>
  <c r="C57" i="12"/>
  <c r="C56" i="12"/>
  <c r="C55" i="12"/>
  <c r="C54" i="12"/>
  <c r="C53" i="12"/>
  <c r="C52" i="12"/>
  <c r="C60" i="12"/>
  <c r="B72" i="12" l="1"/>
  <c r="C71" i="12"/>
  <c r="C70" i="12"/>
  <c r="C69" i="12"/>
  <c r="C68" i="12"/>
  <c r="C67" i="12"/>
  <c r="C66" i="12"/>
  <c r="B84" i="12"/>
  <c r="C83" i="12"/>
  <c r="C82" i="12"/>
  <c r="C81" i="12"/>
  <c r="C80" i="12"/>
  <c r="C79" i="12"/>
  <c r="B48" i="10"/>
  <c r="C47" i="10"/>
  <c r="C46" i="10"/>
  <c r="C45" i="10"/>
  <c r="C44" i="10"/>
  <c r="C43" i="10"/>
  <c r="C42" i="10"/>
  <c r="B60" i="10"/>
  <c r="C59" i="10"/>
  <c r="C58" i="10"/>
  <c r="C57" i="10"/>
  <c r="C56" i="10"/>
  <c r="C55" i="10"/>
  <c r="C54" i="10"/>
  <c r="B72" i="10"/>
  <c r="C71" i="10"/>
  <c r="C70" i="10"/>
  <c r="C69" i="10"/>
  <c r="C68" i="10"/>
  <c r="C67" i="10"/>
  <c r="C66" i="10"/>
  <c r="B84" i="10"/>
  <c r="C83" i="10"/>
  <c r="C82" i="10"/>
  <c r="C81" i="10"/>
  <c r="C80" i="10"/>
  <c r="C79" i="10"/>
  <c r="C78" i="10"/>
  <c r="C65" i="12"/>
  <c r="C64" i="12"/>
  <c r="C78" i="12"/>
  <c r="C77" i="12"/>
  <c r="C76" i="12"/>
  <c r="C72" i="12"/>
  <c r="C84" i="12"/>
  <c r="C41" i="10"/>
  <c r="C40" i="10"/>
  <c r="C53" i="10"/>
  <c r="C52" i="10"/>
  <c r="C65" i="10"/>
  <c r="C64" i="10"/>
  <c r="C77" i="10"/>
  <c r="C76" i="10"/>
  <c r="C48" i="10"/>
  <c r="C60" i="10"/>
  <c r="C72" i="10"/>
  <c r="C84" i="10"/>
  <c r="B96" i="10" l="1"/>
  <c r="C95" i="10"/>
  <c r="C94" i="10"/>
  <c r="C93" i="10"/>
  <c r="C92" i="10"/>
  <c r="C91" i="10"/>
  <c r="B108" i="10"/>
  <c r="C107" i="10"/>
  <c r="C106" i="10"/>
  <c r="C105" i="10"/>
  <c r="C104" i="10"/>
  <c r="C103" i="10"/>
  <c r="C102" i="10"/>
  <c r="B96" i="12"/>
  <c r="C95" i="12"/>
  <c r="C94" i="12"/>
  <c r="C93" i="12"/>
  <c r="C92" i="12"/>
  <c r="C91" i="12"/>
  <c r="C90" i="12"/>
  <c r="C89" i="12"/>
  <c r="C88" i="12"/>
  <c r="C90" i="10"/>
  <c r="C89" i="10"/>
  <c r="C88" i="10"/>
  <c r="C101" i="10"/>
  <c r="C100" i="10"/>
  <c r="C96" i="10"/>
  <c r="C108" i="10"/>
  <c r="C96" i="12"/>
  <c r="B108" i="12" l="1"/>
  <c r="C107" i="12"/>
  <c r="C106" i="12"/>
  <c r="C105" i="12"/>
  <c r="C104" i="12"/>
  <c r="C103" i="12"/>
  <c r="C102" i="12"/>
  <c r="B120" i="12"/>
  <c r="C119" i="12"/>
  <c r="C118" i="12"/>
  <c r="C117" i="12"/>
  <c r="C116" i="12"/>
  <c r="C115" i="12"/>
  <c r="C114" i="12"/>
  <c r="C101" i="12"/>
  <c r="C100" i="12"/>
  <c r="C108" i="12"/>
  <c r="C113" i="12"/>
  <c r="C112" i="12"/>
  <c r="C120" i="12"/>
  <c r="B132" i="12" l="1"/>
  <c r="C131" i="12"/>
  <c r="C130" i="12"/>
  <c r="C129" i="12"/>
  <c r="C128" i="12"/>
  <c r="C127" i="12"/>
  <c r="C126" i="12"/>
  <c r="B144" i="12"/>
  <c r="C143" i="12"/>
  <c r="C142" i="12"/>
  <c r="C141" i="12"/>
  <c r="C140" i="12"/>
  <c r="C139" i="12"/>
  <c r="C138" i="12"/>
  <c r="C125" i="12"/>
  <c r="C124" i="12"/>
  <c r="C132" i="12"/>
  <c r="C137" i="12"/>
  <c r="C136" i="12"/>
  <c r="C144" i="12"/>
  <c r="B156" i="12" l="1"/>
  <c r="C155" i="12"/>
  <c r="C154" i="12"/>
  <c r="C153" i="12"/>
  <c r="C152" i="12"/>
  <c r="C151" i="12"/>
  <c r="C150" i="12"/>
  <c r="C149" i="12"/>
  <c r="C148" i="12"/>
  <c r="C156" i="12"/>
  <c r="B168" i="12" l="1"/>
  <c r="C167" i="12"/>
  <c r="C166" i="12"/>
  <c r="C165" i="12"/>
  <c r="C164" i="12"/>
  <c r="C163" i="12"/>
  <c r="B120" i="10"/>
  <c r="C119" i="10"/>
  <c r="C118" i="10"/>
  <c r="C117" i="10"/>
  <c r="C116" i="10"/>
  <c r="C115" i="10"/>
  <c r="C114" i="10"/>
  <c r="B132" i="10"/>
  <c r="C131" i="10"/>
  <c r="C130" i="10"/>
  <c r="C129" i="10"/>
  <c r="C128" i="10"/>
  <c r="C127" i="10"/>
  <c r="C126" i="10"/>
  <c r="B144" i="10"/>
  <c r="C143" i="10"/>
  <c r="C142" i="10"/>
  <c r="C141" i="10"/>
  <c r="C140" i="10"/>
  <c r="C139" i="10"/>
  <c r="C138" i="10"/>
  <c r="B156" i="10"/>
  <c r="C155" i="10"/>
  <c r="C154" i="10"/>
  <c r="C153" i="10"/>
  <c r="C152" i="10"/>
  <c r="C151" i="10"/>
  <c r="C150" i="10"/>
  <c r="B168" i="10"/>
  <c r="C167" i="10"/>
  <c r="C166" i="10"/>
  <c r="C165" i="10"/>
  <c r="C164" i="10"/>
  <c r="C163" i="10"/>
  <c r="C162" i="10"/>
  <c r="B180" i="10"/>
  <c r="C179" i="10"/>
  <c r="C178" i="10"/>
  <c r="C177" i="10"/>
  <c r="C176" i="10"/>
  <c r="C175" i="10"/>
  <c r="C174" i="10"/>
  <c r="C173" i="10"/>
  <c r="B192" i="10"/>
  <c r="C191" i="10"/>
  <c r="C190" i="10"/>
  <c r="C189" i="10"/>
  <c r="C188" i="10"/>
  <c r="C187" i="10"/>
  <c r="C186" i="10"/>
  <c r="C185" i="10"/>
  <c r="B180" i="12"/>
  <c r="C179" i="12"/>
  <c r="C178" i="12"/>
  <c r="C177" i="12"/>
  <c r="C176" i="12"/>
  <c r="C175" i="12"/>
  <c r="C174" i="12"/>
  <c r="C173" i="12"/>
  <c r="C162" i="12"/>
  <c r="C161" i="12"/>
  <c r="C160" i="12"/>
  <c r="C168" i="12"/>
  <c r="C161" i="10"/>
  <c r="C160" i="10"/>
  <c r="C168" i="10"/>
  <c r="C172" i="10"/>
  <c r="C180" i="10"/>
  <c r="C184" i="10"/>
  <c r="C192" i="10"/>
  <c r="C172" i="12"/>
  <c r="C180" i="12"/>
  <c r="C137" i="10"/>
  <c r="C136" i="10"/>
  <c r="C144" i="10"/>
  <c r="C149" i="10"/>
  <c r="C148" i="10"/>
  <c r="C156" i="10"/>
  <c r="C113" i="10"/>
  <c r="C120" i="10"/>
  <c r="C112" i="10"/>
  <c r="C125" i="10"/>
  <c r="C132" i="10"/>
  <c r="C124" i="10"/>
  <c r="B192" i="12" l="1"/>
  <c r="C191" i="12"/>
  <c r="C190" i="12"/>
  <c r="C189" i="12"/>
  <c r="C188" i="12"/>
  <c r="C187" i="12"/>
  <c r="C186" i="12"/>
  <c r="C185" i="12"/>
  <c r="C184" i="12"/>
  <c r="C192" i="12"/>
  <c r="B204" i="12" l="1"/>
  <c r="C203" i="12"/>
  <c r="C202" i="12"/>
  <c r="C201" i="12"/>
  <c r="C200" i="12"/>
  <c r="C199" i="12"/>
  <c r="C198" i="12"/>
  <c r="C197" i="12"/>
  <c r="C196" i="12"/>
  <c r="C204" i="12"/>
  <c r="B216" i="12" l="1"/>
  <c r="C215" i="12"/>
  <c r="C214" i="12"/>
  <c r="C213" i="12"/>
  <c r="C212" i="12"/>
  <c r="C211" i="12"/>
  <c r="C210" i="12"/>
  <c r="C209" i="12"/>
  <c r="C208" i="12"/>
  <c r="C216" i="12"/>
  <c r="B228" i="12" l="1"/>
  <c r="C227" i="12"/>
  <c r="C226" i="12"/>
  <c r="C225" i="12"/>
  <c r="C224" i="12"/>
  <c r="C223" i="12"/>
  <c r="C222" i="12"/>
  <c r="C220" i="12"/>
  <c r="C221" i="12"/>
  <c r="C228" i="12"/>
  <c r="B240" i="12" l="1"/>
  <c r="C239" i="12"/>
  <c r="C238" i="12"/>
  <c r="C237" i="12"/>
  <c r="C236" i="12"/>
  <c r="C235" i="12"/>
  <c r="C234" i="12"/>
  <c r="B252" i="12"/>
  <c r="C251" i="12"/>
  <c r="C250" i="12"/>
  <c r="C249" i="12"/>
  <c r="C248" i="12"/>
  <c r="C247" i="12"/>
  <c r="B264" i="12"/>
  <c r="C263" i="12"/>
  <c r="C262" i="12"/>
  <c r="C261" i="12"/>
  <c r="C260" i="12"/>
  <c r="C245" i="12"/>
  <c r="C252" i="12"/>
  <c r="C240" i="12"/>
  <c r="C264" i="12"/>
  <c r="C233" i="12"/>
  <c r="C257" i="12"/>
  <c r="C244" i="12"/>
  <c r="C258" i="12"/>
  <c r="C259" i="12"/>
  <c r="C246" i="12"/>
  <c r="C256" i="12"/>
  <c r="C232" i="12"/>
  <c r="B204" i="10" l="1"/>
  <c r="C203" i="10"/>
  <c r="C202" i="10"/>
  <c r="C201" i="10"/>
  <c r="C200" i="10"/>
  <c r="C199" i="10"/>
  <c r="C198"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C259" i="10"/>
  <c r="C258" i="10"/>
  <c r="B276" i="10"/>
  <c r="C275" i="10"/>
  <c r="C274" i="10"/>
  <c r="C273" i="10"/>
  <c r="C272" i="10"/>
  <c r="C271" i="10"/>
  <c r="C270" i="10"/>
  <c r="C245" i="10"/>
  <c r="C216" i="10"/>
  <c r="C268" i="10"/>
  <c r="C228" i="10"/>
  <c r="C197" i="10"/>
  <c r="C220" i="10"/>
  <c r="C222" i="10"/>
  <c r="C208" i="10"/>
  <c r="C204" i="10"/>
  <c r="C232" i="10"/>
  <c r="C269" i="10"/>
  <c r="C252" i="10"/>
  <c r="C244" i="10"/>
  <c r="C276" i="10"/>
  <c r="C264" i="10"/>
  <c r="C221" i="10"/>
  <c r="C196" i="10"/>
  <c r="C246" i="10"/>
  <c r="C240" i="10"/>
  <c r="B276" i="12" l="1"/>
  <c r="C275" i="12"/>
  <c r="C274" i="12"/>
  <c r="C273" i="12"/>
  <c r="C272" i="12"/>
  <c r="C271" i="12"/>
  <c r="B288" i="12"/>
  <c r="C287" i="12"/>
  <c r="C286" i="12"/>
  <c r="C285" i="12"/>
  <c r="C284" i="12"/>
  <c r="C283" i="12"/>
  <c r="C282" i="12"/>
  <c r="C270" i="12"/>
  <c r="C280" i="12"/>
  <c r="C276" i="12"/>
  <c r="C288" i="12"/>
  <c r="C268" i="12"/>
  <c r="C281" i="12"/>
  <c r="C269" i="12"/>
  <c r="B300" i="12" l="1"/>
  <c r="C299" i="12"/>
  <c r="C298" i="12"/>
  <c r="C297" i="12"/>
  <c r="C296" i="12"/>
  <c r="C295" i="12"/>
  <c r="C294" i="12"/>
  <c r="C292" i="12"/>
  <c r="C293" i="12"/>
  <c r="C300" i="12"/>
  <c r="B312" i="12" l="1"/>
  <c r="C311" i="12"/>
  <c r="C310" i="12"/>
  <c r="C309" i="12"/>
  <c r="C308" i="12"/>
  <c r="C305" i="12"/>
  <c r="C312" i="12"/>
  <c r="C307" i="12"/>
  <c r="C306" i="12"/>
  <c r="C304" i="12"/>
  <c r="B288" i="10" l="1"/>
  <c r="C287" i="10"/>
  <c r="C286" i="10"/>
  <c r="C285" i="10"/>
  <c r="C284" i="10"/>
  <c r="C283" i="10"/>
  <c r="C282" i="10"/>
  <c r="B300" i="10"/>
  <c r="C299" i="10"/>
  <c r="C298" i="10"/>
  <c r="C297" i="10"/>
  <c r="C296" i="10"/>
  <c r="C295" i="10"/>
  <c r="C294" i="10"/>
  <c r="C293" i="10"/>
  <c r="B312" i="10"/>
  <c r="C311" i="10"/>
  <c r="C310" i="10"/>
  <c r="C309" i="10"/>
  <c r="C308" i="10"/>
  <c r="C307" i="10"/>
  <c r="B324" i="10"/>
  <c r="C323" i="10"/>
  <c r="C322" i="10"/>
  <c r="C321" i="10"/>
  <c r="C320" i="10"/>
  <c r="C319" i="10"/>
  <c r="C281" i="10"/>
  <c r="C312" i="10"/>
  <c r="C288" i="10"/>
  <c r="C300" i="10"/>
  <c r="C324" i="10"/>
  <c r="C305" i="10"/>
  <c r="C304" i="10"/>
  <c r="C280" i="10"/>
  <c r="C316" i="10"/>
  <c r="C317" i="10"/>
  <c r="C306" i="10"/>
  <c r="C318" i="10"/>
  <c r="C292" i="10"/>
  <c r="B324" i="12" l="1"/>
  <c r="C323" i="12"/>
  <c r="C322" i="12"/>
  <c r="C321" i="12"/>
  <c r="C320" i="12"/>
  <c r="C319" i="12"/>
  <c r="C318" i="12"/>
  <c r="B336" i="12"/>
  <c r="C335" i="12"/>
  <c r="C334" i="12"/>
  <c r="C333" i="12"/>
  <c r="B336" i="10"/>
  <c r="C335" i="10"/>
  <c r="C334" i="10"/>
  <c r="C333" i="10"/>
  <c r="C332" i="10"/>
  <c r="C331" i="10"/>
  <c r="C330" i="10"/>
  <c r="B348" i="10"/>
  <c r="C347" i="10"/>
  <c r="C346" i="10"/>
  <c r="C345" i="10"/>
  <c r="C344" i="10"/>
  <c r="C316" i="12"/>
  <c r="C340" i="10"/>
  <c r="C317" i="12"/>
  <c r="C332" i="12"/>
  <c r="C329" i="12"/>
  <c r="C348" i="10"/>
  <c r="C330" i="12"/>
  <c r="C341" i="10"/>
  <c r="C324" i="12"/>
  <c r="C336" i="12"/>
  <c r="C342" i="10"/>
  <c r="C343" i="10"/>
  <c r="C328" i="12"/>
  <c r="C336" i="10"/>
  <c r="C331"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<sst xmlns="http://schemas.openxmlformats.org/spreadsheetml/2006/main" count="1111" uniqueCount="195">
  <si>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</si>
  <si>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</si>
  <si>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</si>
  <si>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</si>
  <si>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</si>
  <si>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</si>
  <si>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</si>
  <si>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</si>
  <si>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</si>
  <si>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</si>
  <si>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</si>
  <si>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</si>
  <si>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</si>
  <si>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</si>
  <si>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</si>
  <si>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</si>
  <si>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</si>
  <si>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</si>
  <si>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</si>
  <si>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</si>
  <si>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</si>
  <si>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</si>
  <si>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</si>
  <si>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</si>
  <si>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</si>
  <si>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</si>
  <si>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</si>
  <si>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</si>
  <si>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</si>
  <si>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</si>
  <si>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</si>
  <si>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</si>
  <si>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</si>
  <si>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</si>
  <si>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</si>
  <si>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</si>
  <si>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</si>
  <si>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</si>
  <si>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</si>
  <si>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</si>
  <si>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</si>
  <si>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</si>
  <si>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</si>
  <si>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</si>
  <si>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</si>
  <si>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</si>
  <si>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</si>
  <si>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</si>
  <si>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</si>
  <si>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</si>
  <si>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</si>
  <si>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</si>
  <si>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</si>
  <si>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</si>
  <si>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</si>
  <si>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</si>
  <si>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</si>
  <si>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</si>
  <si>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</si>
  <si>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</si>
  <si>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</si>
  <si>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</si>
  <si>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</si>
  <si>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</si>
  <si>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</si>
  <si>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</si>
  <si>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</si>
  <si>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</si>
  <si>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</si>
  <si>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</si>
  <si>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</si>
  <si>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</si>
  <si>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</si>
  <si>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</si>
  <si>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</si>
  <si>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</si>
  <si>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</si>
  <si>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</si>
  <si>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</si>
  <si>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</si>
  <si>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</si>
  <si>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</si>
  <si>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</si>
  <si>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</si>
  <si>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</si>
  <si>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</si>
  <si>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</si>
  <si>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</si>
  <si>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</si>
  <si>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</si>
  <si>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</si>
  <si>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</si>
  <si>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</si>
  <si>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</si>
  <si>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</si>
  <si>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</si>
  <si>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</si>
  <si>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</si>
  <si>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</si>
  <si>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</si>
  <si>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</si>
  <si>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</si>
  <si>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</si>
  <si>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</si>
  <si>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</si>
  <si>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</si>
  <si>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</si>
  <si>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</si>
  <si>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</si>
  <si>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</si>
  <si>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</si>
  <si>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</si>
  <si>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</si>
  <si>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</si>
  <si>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</si>
  <si>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</si>
  <si>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</si>
  <si>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</si>
  <si>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</si>
  <si>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</si>
  <si>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</si>
  <si>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</si>
  <si>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</si>
  <si>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</si>
  <si>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</si>
  <si>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</si>
  <si>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</si>
  <si>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</si>
  <si>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</si>
  <si>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</si>
  <si>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</si>
  <si>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</si>
  <si>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</si>
  <si>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</si>
  <si>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</si>
  <si>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</si>
  <si>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</si>
  <si>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</si>
  <si>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</si>
  <si>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</si>
  <si>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</si>
  <si>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</si>
  <si>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</si>
  <si>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</si>
  <si>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</si>
  <si>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</si>
  <si>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</si>
  <si>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</si>
  <si>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</si>
  <si>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</si>
  <si>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</si>
  <si>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</si>
  <si>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</si>
  <si>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</si>
  <si>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</si>
  <si>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</si>
  <si>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</si>
  <si>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</si>
  <si>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</si>
  <si>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</si>
  <si>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</si>
  <si>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</si>
  <si>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</si>
  <si>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</si>
  <si>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</si>
  <si>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</si>
  <si>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</si>
  <si>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</si>
  <si>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</si>
  <si>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</si>
  <si>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</si>
  <si>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</si>
  <si>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</si>
  <si>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</si>
  <si>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</si>
  <si>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</si>
  <si>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</si>
  <si>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</si>
  <si>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</si>
  <si>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</si>
  <si>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</si>
  <si>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</si>
  <si>
    <t>Mise en place des deux différentes tables nécessaires à l'enregistrement des donneurs / receveurs.</t>
  </si>
  <si>
    <t>J'ai passer le reste de la journée à essayer de mettre correctement en place les formulaires / input sur la page des donneurs/receveurs, le design que j'avais choisi au début n'était pas bien ducoup j'ai dû tout refaire</t>
  </si>
  <si>
    <t>vendredi, 19 février 2021</t>
  </si>
  <si>
    <t>Ecriture du code permettant de créer les donneurs et les receveurs ainsi que le code nécessaire pour rendre le vélo, lorsque l'utilisateur a choisi le donneur et receveur puis clique sur "rendre", le vélo est modifié dans la base de données en y insérant l'id du receveur / donneur puis en changeant le bool qui dit si le vélo a été rendu ou non. J'ai également modifié la page de détails pour que lorsque le vélo est rendu, le bouton "rendre" n'apparait plus. J'ai aussi commencer la modification de la page de résultats pour que l'utilisateur puisse modifier n'importe quel attribut du vélo en cliquant sur le lien "modifier". Pour le moment la page de modification n'a pas été créée ni tout le code php pour la modification.</t>
  </si>
  <si>
    <t>Création de la page de modification du vélo dans la DB, tous les attributs sont affichés dans des &lt;input&gt; de différents type pour que l'utilisateur puisse voir la valeur actuelle et la modifier si il le souhaite. J'ai perdu beaucoup de temps à faire la mise en page donc je n'ai pas encore le code php pour la modification dans la DB</t>
  </si>
  <si>
    <t>Commencer à coder le système de statistiques qui s'affichera sur la "main page"</t>
  </si>
  <si>
    <t>Terminer le système de statistique sur la page principale</t>
  </si>
  <si>
    <t>Remplir le rapport</t>
  </si>
  <si>
    <t>J'ai écrit le code PHP pour la modification du vélo dans la DB, l'utilisateur peut changer n'importe quel attribut (sauf l'ID du vélo) puis envoyer les changements à faire dans la DB.</t>
  </si>
  <si>
    <t>Il y'a eu des problèmes de design sur le site suite a quelques changements fait dans le CSS, j'ai donc passé un bon moment à régler tout cela</t>
  </si>
  <si>
    <t>mercredi, 3 mars 2021</t>
  </si>
  <si>
    <t>Création de l'option pour réinitialiser le receveur et le donneur ainsi que la date a lquelle a été rendu le vélo (et le bool qui définit que le vélo a été rendu). Pour cela j'ai dû rajouter une nouvelle ligne dans la table t_bikes de la base de données.</t>
  </si>
  <si>
    <t>J'ai commencer a préparer la page ou sera stocké les statistiques. J'ai cependant remarquer qu'il me manquait la date a laquelle le vélo a été rendu à son propriétaire, ce qui m'empêche de faires les statistiques demandées. J'ai donc rajouter la ligne nécessaire dans la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</si>
</sst>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1">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0" fillId="0" borderId="33" xfId="0" applyFont="1" applyFill="1" applyBorder="1" applyAlignment="1" applyProtection="1">
      <alignment horizontal="center" vertical="top" wrapText="1"/>
      <protection locked="0"/>
    </xf>
  </cellXfs>
  <cellStyles count="2">
    <cellStyle name="Lien hypertexte" xfId="1" builtinId="8"/>
    <cellStyle name="Normal" xfId="0" builtinId="0" customBuiltin="1"/>
  </cellStyles>
  <dxfs count="5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EW10" zoomScale="55" zoomScaleNormal="55" zoomScaleSheetLayoutView="10" zoomScalePageLayoutView="10" workbookViewId="0">
      <selection activeCell="AIE20" sqref="AIE20"/>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49"/>
  <sheetViews>
    <sheetView showGridLines="0" zoomScaleNormal="100" zoomScaleSheetLayoutView="98" workbookViewId="0">
      <pane ySplit="1" topLeftCell="A335" activePane="bottomLeft" state="frozen"/>
      <selection activeCell="BC13" sqref="BC13"/>
      <selection pane="bottomLeft" activeCell="G349" sqref="G349"/>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29</v>
      </c>
      <c r="C2" s="162"/>
      <c r="D2" s="81" t="s">
        <v>14</v>
      </c>
      <c r="E2" s="93">
        <v>44258</v>
      </c>
      <c r="F2" s="125" t="s">
        <v>75</v>
      </c>
      <c r="G2" s="45"/>
    </row>
    <row r="3" spans="1:7" s="46" customFormat="1" ht="30" customHeight="1" thickBot="1">
      <c r="A3" s="79" t="s">
        <v>4</v>
      </c>
      <c r="B3" s="149" t="s">
        <v>38</v>
      </c>
      <c r="C3" s="150"/>
      <c r="D3" s="79" t="s">
        <v>12</v>
      </c>
      <c r="E3" s="237" t="s">
        <v>13</v>
      </c>
      <c r="F3" s="238"/>
      <c r="G3" s="45"/>
    </row>
    <row r="4" spans="1:7" s="51" customFormat="1">
      <c r="A4" s="47" t="s">
        <v>50</v>
      </c>
      <c r="B4" s="48">
        <v>33</v>
      </c>
      <c r="C4" s="151" t="str">
        <f xml:space="preserve"> IF(B4="","",setValueToTime(B4))</f>
        <v>2h45min</v>
      </c>
      <c r="D4" s="165" t="s">
        <v>189</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28</v>
      </c>
      <c r="C14" s="162"/>
      <c r="D14" s="81" t="s">
        <v>14</v>
      </c>
      <c r="E14" s="93">
        <v>44258</v>
      </c>
      <c r="F14" s="125" t="s">
        <v>74</v>
      </c>
      <c r="G14" s="45"/>
    </row>
    <row r="15" spans="1:7" s="46" customFormat="1" ht="30" customHeight="1" thickBot="1">
      <c r="A15" s="79" t="s">
        <v>4</v>
      </c>
      <c r="B15" s="149" t="s">
        <v>38</v>
      </c>
      <c r="C15" s="150"/>
      <c r="D15" s="79" t="s">
        <v>12</v>
      </c>
      <c r="E15" s="237" t="s">
        <v>13</v>
      </c>
      <c r="F15" s="238"/>
      <c r="G15" s="45"/>
    </row>
    <row r="16" spans="1:7" s="51" customFormat="1">
      <c r="A16" s="47" t="s">
        <v>63</v>
      </c>
      <c r="B16" s="48">
        <v>42</v>
      </c>
      <c r="C16" s="151" t="str">
        <f xml:space="preserve"> IF(B16="","",setValueToTime(B16))</f>
        <v>3h30min</v>
      </c>
      <c r="D16" s="165" t="s">
        <v>188</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45</v>
      </c>
      <c r="C24" s="110" t="str">
        <f xml:space="preserve"> setValueToTime(B24)</f>
        <v>3h45min</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27</v>
      </c>
      <c r="C26" s="162"/>
      <c r="D26" s="81" t="s">
        <v>14</v>
      </c>
      <c r="E26" s="93">
        <v>44256</v>
      </c>
      <c r="F26" s="125" t="s">
        <v>74</v>
      </c>
      <c r="G26" s="45"/>
    </row>
    <row r="27" spans="1:7" s="46" customFormat="1" ht="30" customHeight="1" thickBot="1">
      <c r="A27" s="79" t="s">
        <v>4</v>
      </c>
      <c r="B27" s="149" t="s">
        <v>38</v>
      </c>
      <c r="C27" s="150"/>
      <c r="D27" s="79" t="s">
        <v>12</v>
      </c>
      <c r="E27" s="237" t="s">
        <v>13</v>
      </c>
      <c r="F27" s="238"/>
      <c r="G27" s="45"/>
    </row>
    <row r="28" spans="1:7" s="51" customFormat="1">
      <c r="A28" s="47" t="s">
        <v>63</v>
      </c>
      <c r="B28" s="48">
        <v>33</v>
      </c>
      <c r="C28" s="151" t="str">
        <f xml:space="preserve"> IF(B28="","",setValueToTime(B28))</f>
        <v>2h45min</v>
      </c>
      <c r="D28" s="165" t="s">
        <v>187</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26</v>
      </c>
      <c r="C38" s="162"/>
      <c r="D38" s="81" t="s">
        <v>14</v>
      </c>
      <c r="E38" s="93">
        <v>44246</v>
      </c>
      <c r="F38" s="125" t="s">
        <v>75</v>
      </c>
      <c r="G38" s="45"/>
    </row>
    <row r="39" spans="1:7" s="46" customFormat="1" ht="30" customHeight="1" thickBot="1">
      <c r="A39" s="79" t="s">
        <v>4</v>
      </c>
      <c r="B39" s="149" t="s">
        <v>38</v>
      </c>
      <c r="C39" s="150"/>
      <c r="D39" s="79" t="s">
        <v>12</v>
      </c>
      <c r="E39" s="237" t="s">
        <v>13</v>
      </c>
      <c r="F39" s="238"/>
      <c r="G39" s="45"/>
    </row>
    <row r="40" spans="1:7" s="51" customFormat="1">
      <c r="A40" s="47" t="s">
        <v>66</v>
      </c>
      <c r="B40" s="48">
        <v>33</v>
      </c>
      <c r="C40" s="151" t="str">
        <f xml:space="preserve"> IF(B40="","",setValueToTime(B40))</f>
        <v>2h45min</v>
      </c>
      <c r="D40" s="165" t="s">
        <v>176</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36</v>
      </c>
      <c r="C48" s="110" t="str">
        <f xml:space="preserve"> setValueToTime(B48)</f>
        <v>3h</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25</v>
      </c>
      <c r="C50" s="162"/>
      <c r="D50" s="81" t="s">
        <v>14</v>
      </c>
      <c r="E50" s="93">
        <v>44246</v>
      </c>
      <c r="F50" s="125" t="s">
        <v>74</v>
      </c>
      <c r="G50" s="45"/>
    </row>
    <row r="51" spans="1:7" s="46" customFormat="1" ht="30" customHeight="1" thickBot="1">
      <c r="A51" s="79" t="s">
        <v>4</v>
      </c>
      <c r="B51" s="149" t="s">
        <v>38</v>
      </c>
      <c r="C51" s="150"/>
      <c r="D51" s="79" t="s">
        <v>12</v>
      </c>
      <c r="E51" s="237" t="s">
        <v>13</v>
      </c>
      <c r="F51" s="238"/>
      <c r="G51" s="45"/>
    </row>
    <row r="52" spans="1:7" s="51" customFormat="1" ht="27">
      <c r="A52" s="47" t="s">
        <v>117</v>
      </c>
      <c r="B52" s="48">
        <v>33</v>
      </c>
      <c r="C52" s="151" t="str">
        <f xml:space="preserve"> IF(B52="","",setValueToTime(B52))</f>
        <v>2h45min</v>
      </c>
      <c r="D52" s="165" t="s">
        <v>175</v>
      </c>
      <c r="E52" s="239"/>
      <c r="F52" s="240"/>
      <c r="G52" s="50"/>
    </row>
    <row r="53" spans="1:7" s="51" customFormat="1">
      <c r="A53" s="52" t="s">
        <v>15</v>
      </c>
      <c r="B53" s="53">
        <v>3</v>
      </c>
      <c r="C53" s="152" t="str">
        <f t="shared" ref="C53:C59" si="4" xml:space="preserve"> IF(B53="","",setValueToTime(B53))</f>
        <v>0h15min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24</v>
      </c>
      <c r="C62" s="162"/>
      <c r="D62" s="81" t="s">
        <v>14</v>
      </c>
      <c r="E62" s="93">
        <v>44245</v>
      </c>
      <c r="F62" s="125" t="s">
        <v>75</v>
      </c>
      <c r="G62" s="45"/>
    </row>
    <row r="63" spans="1:7" s="46" customFormat="1" ht="30" customHeight="1" thickBot="1">
      <c r="A63" s="79" t="s">
        <v>4</v>
      </c>
      <c r="B63" s="149" t="s">
        <v>38</v>
      </c>
      <c r="C63" s="150"/>
      <c r="D63" s="79" t="s">
        <v>12</v>
      </c>
      <c r="E63" s="237" t="s">
        <v>13</v>
      </c>
      <c r="F63" s="238"/>
      <c r="G63" s="45"/>
    </row>
    <row r="64" spans="1:7" s="51" customFormat="1">
      <c r="A64" s="47" t="s">
        <v>117</v>
      </c>
      <c r="B64" s="48">
        <v>33</v>
      </c>
      <c r="C64" s="151" t="str">
        <f xml:space="preserve"> IF(B64="","",setValueToTime(B64))</f>
        <v>2h45min</v>
      </c>
      <c r="D64" s="165" t="s">
        <v>174</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36</v>
      </c>
      <c r="C72" s="110" t="str">
        <f xml:space="preserve"> setValueToTime(B72)</f>
        <v>3h</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23</v>
      </c>
      <c r="C74" s="162"/>
      <c r="D74" s="81" t="s">
        <v>14</v>
      </c>
      <c r="E74" s="93">
        <v>44245</v>
      </c>
      <c r="F74" s="125" t="s">
        <v>74</v>
      </c>
      <c r="G74" s="45"/>
    </row>
    <row r="75" spans="1:7" s="46" customFormat="1" ht="30" customHeight="1" thickBot="1">
      <c r="A75" s="79" t="s">
        <v>4</v>
      </c>
      <c r="B75" s="149" t="s">
        <v>38</v>
      </c>
      <c r="C75" s="150"/>
      <c r="D75" s="79" t="s">
        <v>12</v>
      </c>
      <c r="E75" s="237" t="s">
        <v>13</v>
      </c>
      <c r="F75" s="238"/>
      <c r="G75" s="45"/>
    </row>
    <row r="76" spans="1:7" s="51" customFormat="1">
      <c r="A76" s="47" t="s">
        <v>117</v>
      </c>
      <c r="B76" s="48">
        <v>42</v>
      </c>
      <c r="C76" s="151" t="str">
        <f xml:space="preserve"> IF(B76="","",setValueToTime(B76))</f>
        <v>3h30min</v>
      </c>
      <c r="D76" s="165" t="s">
        <v>173</v>
      </c>
      <c r="E76" s="239"/>
      <c r="F76" s="240"/>
      <c r="G76" s="50"/>
    </row>
    <row r="77" spans="1:7" s="51" customFormat="1">
      <c r="A77" s="52" t="s">
        <v>15</v>
      </c>
      <c r="B77" s="53">
        <v>3</v>
      </c>
      <c r="C77" s="152" t="str">
        <f t="shared" ref="C77:C83" si="6" xml:space="preserve"> IF(B77="","",setValueToTime(B77))</f>
        <v>0h15min</v>
      </c>
      <c r="D77" s="166" t="s">
        <v>151</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45</v>
      </c>
      <c r="C84" s="110" t="str">
        <f xml:space="preserve"> setValueToTime(B84)</f>
        <v>3h45min</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22</v>
      </c>
      <c r="C86" s="162"/>
      <c r="D86" s="81" t="s">
        <v>14</v>
      </c>
      <c r="E86" s="93">
        <v>44244</v>
      </c>
      <c r="F86" s="125" t="s">
        <v>75</v>
      </c>
      <c r="G86" s="45"/>
    </row>
    <row r="87" spans="1:7" s="46" customFormat="1" ht="30" customHeight="1" thickBot="1">
      <c r="A87" s="79" t="s">
        <v>4</v>
      </c>
      <c r="B87" s="149" t="s">
        <v>38</v>
      </c>
      <c r="C87" s="150"/>
      <c r="D87" s="79" t="s">
        <v>12</v>
      </c>
      <c r="E87" s="237" t="s">
        <v>13</v>
      </c>
      <c r="F87" s="238"/>
      <c r="G87" s="45"/>
    </row>
    <row r="88" spans="1:7" s="51" customFormat="1">
      <c r="A88" s="47" t="s">
        <v>50</v>
      </c>
      <c r="B88" s="48">
        <v>18</v>
      </c>
      <c r="C88" s="151" t="str">
        <f xml:space="preserve"> IF(B88="","",setValueToTime(B88))</f>
        <v>1h30min</v>
      </c>
      <c r="D88" s="165" t="s">
        <v>170</v>
      </c>
      <c r="E88" s="239"/>
      <c r="F88" s="240"/>
      <c r="G88" s="50"/>
    </row>
    <row r="89" spans="1:7" s="51" customFormat="1">
      <c r="A89" s="52" t="s">
        <v>117</v>
      </c>
      <c r="B89" s="53">
        <v>15</v>
      </c>
      <c r="C89" s="152" t="str">
        <f t="shared" ref="C89:C95" si="7" xml:space="preserve"> IF(B89="","",setValueToTime(B89))</f>
        <v>1h15min</v>
      </c>
      <c r="D89" s="166" t="s">
        <v>171</v>
      </c>
      <c r="E89" s="241"/>
      <c r="F89" s="242"/>
      <c r="G89" s="50"/>
    </row>
    <row r="90" spans="1:7" s="51" customFormat="1">
      <c r="A90" s="52" t="s">
        <v>15</v>
      </c>
      <c r="B90" s="53">
        <v>3</v>
      </c>
      <c r="C90" s="152" t="str">
        <f t="shared" si="7"/>
        <v>0h15min</v>
      </c>
      <c r="D90" s="166" t="s">
        <v>106</v>
      </c>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21</v>
      </c>
      <c r="C98" s="162"/>
      <c r="D98" s="81" t="s">
        <v>14</v>
      </c>
      <c r="E98" s="93">
        <v>44244</v>
      </c>
      <c r="F98" s="125" t="s">
        <v>74</v>
      </c>
      <c r="G98" s="45"/>
    </row>
    <row r="99" spans="1:7" s="46" customFormat="1" ht="30" customHeight="1" thickBot="1">
      <c r="A99" s="79" t="s">
        <v>4</v>
      </c>
      <c r="B99" s="149" t="s">
        <v>38</v>
      </c>
      <c r="C99" s="150"/>
      <c r="D99" s="79" t="s">
        <v>12</v>
      </c>
      <c r="E99" s="237" t="s">
        <v>13</v>
      </c>
      <c r="F99" s="238"/>
      <c r="G99" s="45"/>
    </row>
    <row r="100" spans="1:7" s="51" customFormat="1">
      <c r="A100" s="47" t="s">
        <v>165</v>
      </c>
      <c r="B100" s="48">
        <v>42</v>
      </c>
      <c r="C100" s="151" t="str">
        <f xml:space="preserve"> IF(B100="","",setValueToTime(B100))</f>
        <v>3h30min</v>
      </c>
      <c r="D100" s="165" t="s">
        <v>169</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45</v>
      </c>
      <c r="C108" s="110" t="str">
        <f xml:space="preserve"> setValueToTime(B108)</f>
        <v>3h45min</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20</v>
      </c>
      <c r="C110" s="162"/>
      <c r="D110" s="81" t="s">
        <v>14</v>
      </c>
      <c r="E110" s="93">
        <v>44239</v>
      </c>
      <c r="F110" s="125" t="s">
        <v>75</v>
      </c>
      <c r="G110" s="45"/>
    </row>
    <row r="111" spans="1:7" s="46" customFormat="1" ht="30" customHeight="1" thickBot="1">
      <c r="A111" s="79" t="s">
        <v>4</v>
      </c>
      <c r="B111" s="149" t="s">
        <v>38</v>
      </c>
      <c r="C111" s="150"/>
      <c r="D111" s="79" t="s">
        <v>12</v>
      </c>
      <c r="E111" s="237" t="s">
        <v>13</v>
      </c>
      <c r="F111" s="238"/>
      <c r="G111" s="45"/>
    </row>
    <row r="112" spans="1:7" s="51" customFormat="1" ht="27">
      <c r="A112" s="47" t="s">
        <v>165</v>
      </c>
      <c r="B112" s="48">
        <v>34</v>
      </c>
      <c r="C112" s="151" t="str">
        <f xml:space="preserve"> IF(B112="","",setValueToTime(B112))</f>
        <v>2h50min</v>
      </c>
      <c r="D112" s="165" t="s">
        <v>166</v>
      </c>
      <c r="E112" s="239"/>
      <c r="F112" s="240"/>
      <c r="G112" s="50"/>
    </row>
    <row r="113" spans="1:7" s="51" customFormat="1">
      <c r="A113" s="52" t="s">
        <v>15</v>
      </c>
      <c r="B113" s="53">
        <v>2</v>
      </c>
      <c r="C113" s="152" t="str">
        <f t="shared" ref="C113:C119" si="9" xml:space="preserve"> IF(B113="","",setValueToTime(B113))</f>
        <v>0h10min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36</v>
      </c>
      <c r="C120" s="110" t="str">
        <f xml:space="preserve"> setValueToTime(B120)</f>
        <v>3h</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19</v>
      </c>
      <c r="C122" s="162"/>
      <c r="D122" s="81" t="s">
        <v>14</v>
      </c>
      <c r="E122" s="93">
        <v>44239</v>
      </c>
      <c r="F122" s="125" t="s">
        <v>74</v>
      </c>
      <c r="G122" s="45"/>
    </row>
    <row r="123" spans="1:7" s="46" customFormat="1" ht="30" customHeight="1" thickBot="1">
      <c r="A123" s="79" t="s">
        <v>4</v>
      </c>
      <c r="B123" s="149" t="s">
        <v>38</v>
      </c>
      <c r="C123" s="150"/>
      <c r="D123" s="79" t="s">
        <v>12</v>
      </c>
      <c r="E123" s="237" t="s">
        <v>13</v>
      </c>
      <c r="F123" s="238"/>
      <c r="G123" s="45"/>
    </row>
    <row r="124" spans="1:7" s="51" customFormat="1">
      <c r="A124" s="47" t="s">
        <v>50</v>
      </c>
      <c r="B124" s="48">
        <v>33</v>
      </c>
      <c r="C124" s="151" t="str">
        <f xml:space="preserve"> IF(B124="","",setValueToTime(B124))</f>
        <v>2h45min</v>
      </c>
      <c r="D124" s="165" t="s">
        <v>164</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18</v>
      </c>
      <c r="C134" s="162"/>
      <c r="D134" s="81" t="s">
        <v>14</v>
      </c>
      <c r="E134" s="93">
        <v>44238</v>
      </c>
      <c r="F134" s="125" t="s">
        <v>75</v>
      </c>
      <c r="G134" s="45"/>
    </row>
    <row r="135" spans="1:7" s="46" customFormat="1" ht="30" customHeight="1" thickBot="1">
      <c r="A135" s="79" t="s">
        <v>4</v>
      </c>
      <c r="B135" s="149" t="s">
        <v>38</v>
      </c>
      <c r="C135" s="150"/>
      <c r="D135" s="79" t="s">
        <v>12</v>
      </c>
      <c r="E135" s="237" t="s">
        <v>13</v>
      </c>
      <c r="F135" s="238"/>
      <c r="G135" s="45"/>
    </row>
    <row r="136" spans="1:7" s="51" customFormat="1">
      <c r="A136" s="47" t="s">
        <v>50</v>
      </c>
      <c r="B136" s="48">
        <v>33</v>
      </c>
      <c r="C136" s="151" t="str">
        <f xml:space="preserve"> IF(B136="","",setValueToTime(B136))</f>
        <v>2h45min</v>
      </c>
      <c r="D136" s="165" t="s">
        <v>161</v>
      </c>
      <c r="E136" s="239"/>
      <c r="F136" s="240"/>
      <c r="G136" s="50"/>
    </row>
    <row r="137" spans="1:7" s="51" customFormat="1">
      <c r="A137" s="52" t="s">
        <v>15</v>
      </c>
      <c r="B137" s="53">
        <v>3</v>
      </c>
      <c r="C137" s="152" t="str">
        <f t="shared" ref="C137:C143" si="11" xml:space="preserve"> IF(B137="","",setValueToTime(B137))</f>
        <v>0h15min</v>
      </c>
      <c r="D137" s="166" t="s">
        <v>151</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36</v>
      </c>
      <c r="C144" s="110" t="str">
        <f xml:space="preserve"> setValueToTime(B144)</f>
        <v>3h</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17</v>
      </c>
      <c r="C146" s="162"/>
      <c r="D146" s="81" t="s">
        <v>14</v>
      </c>
      <c r="E146" s="93">
        <v>44238</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50</v>
      </c>
      <c r="B148" s="48">
        <v>43</v>
      </c>
      <c r="C148" s="151" t="str">
        <f xml:space="preserve"> IF(B148="","",setValueToTime(B148))</f>
        <v>3h35min</v>
      </c>
      <c r="D148" s="165" t="s">
        <v>160</v>
      </c>
      <c r="E148" s="239"/>
      <c r="F148" s="240"/>
      <c r="G148" s="50"/>
    </row>
    <row r="149" spans="1:7" s="51" customFormat="1">
      <c r="A149" s="52" t="s">
        <v>15</v>
      </c>
      <c r="B149" s="53">
        <v>2</v>
      </c>
      <c r="C149" s="152" t="str">
        <f t="shared" ref="C149:C155" si="12" xml:space="preserve"> IF(B149="","",setValueToTime(B149))</f>
        <v>0h10min</v>
      </c>
      <c r="D149" s="166" t="s">
        <v>151</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45</v>
      </c>
      <c r="C156" s="110" t="str">
        <f xml:space="preserve"> setValueToTime(B156)</f>
        <v>3h45min</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16</v>
      </c>
      <c r="C158" s="162"/>
      <c r="D158" s="81" t="s">
        <v>14</v>
      </c>
      <c r="E158" s="93">
        <v>44237</v>
      </c>
      <c r="F158" s="125" t="s">
        <v>75</v>
      </c>
      <c r="G158" s="45"/>
    </row>
    <row r="159" spans="1:7" s="46" customFormat="1" ht="30" customHeight="1" thickBot="1">
      <c r="A159" s="79" t="s">
        <v>4</v>
      </c>
      <c r="B159" s="149" t="s">
        <v>38</v>
      </c>
      <c r="C159" s="150"/>
      <c r="D159" s="79" t="s">
        <v>12</v>
      </c>
      <c r="E159" s="237" t="s">
        <v>13</v>
      </c>
      <c r="F159" s="238"/>
      <c r="G159" s="45"/>
    </row>
    <row r="160" spans="1:7" s="51" customFormat="1">
      <c r="A160" s="47" t="s">
        <v>60</v>
      </c>
      <c r="B160" s="48">
        <v>33</v>
      </c>
      <c r="C160" s="151" t="str">
        <f xml:space="preserve"> IF(B160="","",setValueToTime(B160))</f>
        <v>2h45min</v>
      </c>
      <c r="D160" s="165" t="s">
        <v>144</v>
      </c>
      <c r="E160" s="239"/>
      <c r="F160" s="240"/>
      <c r="G160" s="50"/>
    </row>
    <row r="161" spans="1:7" s="51" customFormat="1">
      <c r="A161" s="52" t="s">
        <v>15</v>
      </c>
      <c r="B161" s="53">
        <v>3</v>
      </c>
      <c r="C161" s="152" t="str">
        <f t="shared" ref="C161:C167" si="13" xml:space="preserve"> IF(B161="","",setValueToTime(B161))</f>
        <v>0h15min</v>
      </c>
      <c r="D161" s="166" t="s">
        <v>145</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15</v>
      </c>
      <c r="C170" s="162"/>
      <c r="D170" s="81" t="s">
        <v>14</v>
      </c>
      <c r="E170" s="93">
        <v>44237</v>
      </c>
      <c r="F170" s="125" t="s">
        <v>74</v>
      </c>
      <c r="G170" s="45"/>
    </row>
    <row r="171" spans="1:7" s="46" customFormat="1" ht="30" customHeight="1" thickBot="1">
      <c r="A171" s="79" t="s">
        <v>4</v>
      </c>
      <c r="B171" s="149" t="s">
        <v>38</v>
      </c>
      <c r="C171" s="150"/>
      <c r="D171" s="79" t="s">
        <v>12</v>
      </c>
      <c r="E171" s="237" t="s">
        <v>13</v>
      </c>
      <c r="F171" s="238"/>
      <c r="G171" s="45"/>
    </row>
    <row r="172" spans="1:7" s="51" customFormat="1">
      <c r="A172" s="47" t="s">
        <v>60</v>
      </c>
      <c r="B172" s="48">
        <v>45</v>
      </c>
      <c r="C172" s="151" t="str">
        <f xml:space="preserve"> IF(B172="","",setValueToTime(B172))</f>
        <v>3h45min</v>
      </c>
      <c r="D172" s="165" t="s">
        <v>143</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45</v>
      </c>
      <c r="C180" s="110" t="str">
        <f xml:space="preserve"> setValueToTime(B180)</f>
        <v>3h45min</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14</v>
      </c>
      <c r="C182" s="162"/>
      <c r="D182" s="81" t="s">
        <v>14</v>
      </c>
      <c r="E182" s="93">
        <v>44235</v>
      </c>
      <c r="F182" s="125" t="s">
        <v>74</v>
      </c>
      <c r="G182" s="45"/>
    </row>
    <row r="183" spans="1:7" s="46" customFormat="1" ht="30" customHeight="1" thickBot="1">
      <c r="A183" s="79" t="s">
        <v>4</v>
      </c>
      <c r="B183" s="149" t="s">
        <v>38</v>
      </c>
      <c r="C183" s="150"/>
      <c r="D183" s="79" t="s">
        <v>12</v>
      </c>
      <c r="E183" s="237" t="s">
        <v>13</v>
      </c>
      <c r="F183" s="238"/>
      <c r="G183" s="45"/>
    </row>
    <row r="184" spans="1:7" s="51" customFormat="1">
      <c r="A184" s="47" t="s">
        <v>51</v>
      </c>
      <c r="B184" s="48">
        <v>36</v>
      </c>
      <c r="C184" s="151" t="str">
        <f xml:space="preserve"> IF(B184="","",setValueToTime(B184))</f>
        <v>3h</v>
      </c>
      <c r="D184" s="165" t="s">
        <v>142</v>
      </c>
      <c r="E184" s="239"/>
      <c r="F184" s="240"/>
      <c r="G184" s="50"/>
    </row>
    <row r="185" spans="1:7" s="51" customFormat="1">
      <c r="A185" s="52"/>
      <c r="B185" s="53"/>
      <c r="C185" s="152" t="str">
        <f t="shared" ref="C185:C191" si="15" xml:space="preserve"> IF(B185="","",setValueToTime(B185))</f>
        <v/>
      </c>
      <c r="D185" s="54"/>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13</v>
      </c>
      <c r="C194" s="162"/>
      <c r="D194" s="81" t="s">
        <v>14</v>
      </c>
      <c r="E194" s="93">
        <v>44232</v>
      </c>
      <c r="F194" s="125" t="s">
        <v>75</v>
      </c>
      <c r="G194" s="45"/>
    </row>
    <row r="195" spans="1:7" s="46" customFormat="1" ht="30" customHeight="1" thickBot="1">
      <c r="A195" s="79" t="s">
        <v>4</v>
      </c>
      <c r="B195" s="149" t="s">
        <v>38</v>
      </c>
      <c r="C195" s="150"/>
      <c r="D195" s="79" t="s">
        <v>12</v>
      </c>
      <c r="E195" s="237" t="s">
        <v>13</v>
      </c>
      <c r="F195" s="238"/>
      <c r="G195" s="45"/>
    </row>
    <row r="196" spans="1:7" s="51" customFormat="1" ht="27">
      <c r="A196" s="47" t="s">
        <v>117</v>
      </c>
      <c r="B196" s="48">
        <v>33</v>
      </c>
      <c r="C196" s="151" t="str">
        <f xml:space="preserve"> IF(B196="","",setValueToTime(B196))</f>
        <v>2h45min</v>
      </c>
      <c r="D196" s="165" t="s">
        <v>124</v>
      </c>
      <c r="E196" s="239"/>
      <c r="F196" s="240"/>
      <c r="G196" s="50"/>
    </row>
    <row r="197" spans="1:7" s="51" customFormat="1">
      <c r="A197" s="52" t="s">
        <v>15</v>
      </c>
      <c r="B197" s="53">
        <v>3</v>
      </c>
      <c r="C197" s="152" t="str">
        <f t="shared" ref="C197:C203" si="16" xml:space="preserve"> IF(B197="","",setValueToTime(B197))</f>
        <v>0h15min</v>
      </c>
      <c r="D197" s="166" t="s">
        <v>114</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36</v>
      </c>
      <c r="C204" s="110" t="str">
        <f xml:space="preserve"> setValueToTime(B204)</f>
        <v>3h</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12</v>
      </c>
      <c r="C206" s="162"/>
      <c r="D206" s="81" t="s">
        <v>14</v>
      </c>
      <c r="E206" s="93">
        <v>44232</v>
      </c>
      <c r="F206" s="125" t="s">
        <v>74</v>
      </c>
      <c r="G206" s="45"/>
    </row>
    <row r="207" spans="1:7" s="46" customFormat="1" ht="30" customHeight="1" thickBot="1">
      <c r="A207" s="79" t="s">
        <v>4</v>
      </c>
      <c r="B207" s="149" t="s">
        <v>38</v>
      </c>
      <c r="C207" s="150"/>
      <c r="D207" s="79" t="s">
        <v>12</v>
      </c>
      <c r="E207" s="237" t="s">
        <v>13</v>
      </c>
      <c r="F207" s="238"/>
      <c r="G207" s="45"/>
    </row>
    <row r="208" spans="1:7" s="51" customFormat="1" ht="27">
      <c r="A208" s="47" t="s">
        <v>62</v>
      </c>
      <c r="B208" s="48">
        <v>36</v>
      </c>
      <c r="C208" s="151" t="str">
        <f xml:space="preserve"> IF(B208="","",setValueToTime(B208))</f>
        <v>3h</v>
      </c>
      <c r="D208" s="165" t="s">
        <v>123</v>
      </c>
      <c r="E208" s="239"/>
      <c r="F208" s="240"/>
      <c r="G208" s="50"/>
    </row>
    <row r="209" spans="1:7" s="51" customFormat="1">
      <c r="A209" s="52"/>
      <c r="B209" s="53"/>
      <c r="C209" s="152" t="str">
        <f t="shared" ref="C209:C215" si="17" xml:space="preserve"> IF(B209="","",setValueToTime(B209))</f>
        <v/>
      </c>
      <c r="D209" s="54"/>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11</v>
      </c>
      <c r="C218" s="162"/>
      <c r="D218" s="81" t="s">
        <v>14</v>
      </c>
      <c r="E218" s="93">
        <v>44231</v>
      </c>
      <c r="F218" s="125" t="s">
        <v>75</v>
      </c>
      <c r="G218" s="45"/>
    </row>
    <row r="219" spans="1:7" s="46" customFormat="1" ht="30" customHeight="1" thickBot="1">
      <c r="A219" s="79" t="s">
        <v>4</v>
      </c>
      <c r="B219" s="149" t="s">
        <v>38</v>
      </c>
      <c r="C219" s="150"/>
      <c r="D219" s="79" t="s">
        <v>12</v>
      </c>
      <c r="E219" s="237" t="s">
        <v>13</v>
      </c>
      <c r="F219" s="238"/>
      <c r="G219" s="45"/>
    </row>
    <row r="220" spans="1:7" s="51" customFormat="1">
      <c r="A220" s="47" t="s">
        <v>59</v>
      </c>
      <c r="B220" s="48">
        <v>18</v>
      </c>
      <c r="C220" s="151" t="str">
        <f xml:space="preserve"> IF(B220="","",setValueToTime(B220))</f>
        <v>1h30min</v>
      </c>
      <c r="D220" s="165" t="s">
        <v>120</v>
      </c>
      <c r="E220" s="239"/>
      <c r="F220" s="240"/>
      <c r="G220" s="50"/>
    </row>
    <row r="221" spans="1:7" s="51" customFormat="1" ht="27">
      <c r="A221" s="52" t="s">
        <v>62</v>
      </c>
      <c r="B221" s="53">
        <v>15</v>
      </c>
      <c r="C221" s="152" t="str">
        <f t="shared" ref="C221:C227" si="18" xml:space="preserve"> IF(B221="","",setValueToTime(B221))</f>
        <v>1h15min</v>
      </c>
      <c r="D221" s="166" t="s">
        <v>122</v>
      </c>
      <c r="E221" s="241"/>
      <c r="F221" s="242"/>
      <c r="G221" s="50"/>
    </row>
    <row r="222" spans="1:7" s="51" customFormat="1">
      <c r="A222" s="52" t="s">
        <v>15</v>
      </c>
      <c r="B222" s="53">
        <v>3</v>
      </c>
      <c r="C222" s="152" t="str">
        <f t="shared" si="18"/>
        <v>0h15min</v>
      </c>
      <c r="D222" s="166" t="s">
        <v>106</v>
      </c>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36</v>
      </c>
      <c r="C228" s="110" t="str">
        <f xml:space="preserve"> setValueToTime(B228)</f>
        <v>3h</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10</v>
      </c>
      <c r="C230" s="162"/>
      <c r="D230" s="81" t="s">
        <v>14</v>
      </c>
      <c r="E230" s="93">
        <v>44231</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59</v>
      </c>
      <c r="B232" s="48">
        <v>45</v>
      </c>
      <c r="C232" s="151" t="str">
        <f xml:space="preserve"> IF(B232="","",setValueToTime(B232))</f>
        <v>3h45min</v>
      </c>
      <c r="D232" s="165" t="s">
        <v>121</v>
      </c>
      <c r="E232" s="239"/>
      <c r="F232" s="240"/>
      <c r="G232" s="50"/>
    </row>
    <row r="233" spans="1:7" s="51" customFormat="1">
      <c r="A233" s="52"/>
      <c r="B233" s="53"/>
      <c r="C233" s="152" t="str">
        <f t="shared" ref="C233:C239" si="19" xml:space="preserve"> IF(B233="","",setValueToTime(B233))</f>
        <v/>
      </c>
      <c r="D233" s="54"/>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45</v>
      </c>
      <c r="C240" s="110" t="str">
        <f xml:space="preserve"> setValueToTime(B240)</f>
        <v>3h45min</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9</v>
      </c>
      <c r="C242" s="162"/>
      <c r="D242" s="81" t="s">
        <v>14</v>
      </c>
      <c r="E242" s="93">
        <v>44230</v>
      </c>
      <c r="F242" s="125" t="s">
        <v>75</v>
      </c>
      <c r="G242" s="45"/>
    </row>
    <row r="243" spans="1:7" s="46" customFormat="1" ht="30" customHeight="1" thickBot="1">
      <c r="A243" s="79" t="s">
        <v>4</v>
      </c>
      <c r="B243" s="149" t="s">
        <v>38</v>
      </c>
      <c r="C243" s="150"/>
      <c r="D243" s="79" t="s">
        <v>12</v>
      </c>
      <c r="E243" s="237" t="s">
        <v>13</v>
      </c>
      <c r="F243" s="238"/>
      <c r="G243" s="45"/>
    </row>
    <row r="244" spans="1:7" s="51" customFormat="1">
      <c r="A244" s="47" t="s">
        <v>60</v>
      </c>
      <c r="B244" s="48">
        <v>18</v>
      </c>
      <c r="C244" s="151" t="str">
        <f xml:space="preserve"> IF(B244="","",setValueToTime(B244))</f>
        <v>1h30min</v>
      </c>
      <c r="D244" s="165" t="s">
        <v>116</v>
      </c>
      <c r="E244" s="239"/>
      <c r="F244" s="240"/>
      <c r="G244" s="50"/>
    </row>
    <row r="245" spans="1:7" s="51" customFormat="1">
      <c r="A245" s="52" t="s">
        <v>59</v>
      </c>
      <c r="B245" s="53">
        <v>15</v>
      </c>
      <c r="C245" s="152" t="str">
        <f t="shared" ref="C245:C251" si="20" xml:space="preserve"> IF(B245="","",setValueToTime(B245))</f>
        <v>1h15min</v>
      </c>
      <c r="D245" s="166" t="s">
        <v>119</v>
      </c>
      <c r="E245" s="241"/>
      <c r="F245" s="242"/>
      <c r="G245" s="50"/>
    </row>
    <row r="246" spans="1:7" s="51" customFormat="1">
      <c r="A246" s="52" t="s">
        <v>15</v>
      </c>
      <c r="B246" s="53">
        <v>3</v>
      </c>
      <c r="C246" s="152" t="str">
        <f t="shared" si="20"/>
        <v>0h15min</v>
      </c>
      <c r="D246" s="166" t="s">
        <v>106</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8</v>
      </c>
      <c r="C254" s="162"/>
      <c r="D254" s="81" t="s">
        <v>14</v>
      </c>
      <c r="E254" s="93">
        <v>44230</v>
      </c>
      <c r="F254" s="125" t="s">
        <v>74</v>
      </c>
      <c r="G254" s="45"/>
    </row>
    <row r="255" spans="1:7" s="46" customFormat="1" ht="30" customHeight="1" thickBot="1">
      <c r="A255" s="79" t="s">
        <v>4</v>
      </c>
      <c r="B255" s="149" t="s">
        <v>38</v>
      </c>
      <c r="C255" s="150"/>
      <c r="D255" s="79" t="s">
        <v>12</v>
      </c>
      <c r="E255" s="237" t="s">
        <v>13</v>
      </c>
      <c r="F255" s="238"/>
      <c r="G255" s="45"/>
    </row>
    <row r="256" spans="1:7" s="51" customFormat="1">
      <c r="A256" s="47" t="s">
        <v>56</v>
      </c>
      <c r="B256" s="48">
        <v>3</v>
      </c>
      <c r="C256" s="151"/>
      <c r="D256" s="165" t="s">
        <v>112</v>
      </c>
      <c r="E256" s="239"/>
      <c r="F256" s="240"/>
      <c r="G256" s="50"/>
    </row>
    <row r="257" spans="1:7" s="51" customFormat="1">
      <c r="A257" s="52" t="s">
        <v>60</v>
      </c>
      <c r="B257" s="53">
        <v>42</v>
      </c>
      <c r="C257" s="152"/>
      <c r="D257" s="166" t="s">
        <v>115</v>
      </c>
      <c r="E257" s="241"/>
      <c r="F257" s="242"/>
      <c r="G257" s="50"/>
    </row>
    <row r="258" spans="1:7" s="51" customFormat="1">
      <c r="A258" s="52"/>
      <c r="B258" s="53"/>
      <c r="C258" s="152" t="str">
        <f t="shared" ref="C258:C263" si="21" xml:space="preserve"> IF(B258="","",setValueToTime(B258))</f>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45</v>
      </c>
      <c r="C264" s="110" t="str">
        <f xml:space="preserve"> setValueToTime(B264)</f>
        <v>3h45min</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7</v>
      </c>
      <c r="C266" s="162"/>
      <c r="D266" s="81" t="s">
        <v>14</v>
      </c>
      <c r="E266" s="93">
        <v>44228</v>
      </c>
      <c r="F266" s="125" t="s">
        <v>74</v>
      </c>
      <c r="G266" s="45"/>
    </row>
    <row r="267" spans="1:7" s="46" customFormat="1" ht="30" customHeight="1" thickBot="1">
      <c r="A267" s="79" t="s">
        <v>4</v>
      </c>
      <c r="B267" s="149" t="s">
        <v>38</v>
      </c>
      <c r="C267" s="150"/>
      <c r="D267" s="79" t="s">
        <v>12</v>
      </c>
      <c r="E267" s="237" t="s">
        <v>13</v>
      </c>
      <c r="F267" s="238"/>
      <c r="G267" s="45"/>
    </row>
    <row r="268" spans="1:7" s="51" customFormat="1">
      <c r="A268" s="47" t="s">
        <v>56</v>
      </c>
      <c r="B268" s="48">
        <v>3</v>
      </c>
      <c r="C268" s="151" t="str">
        <f xml:space="preserve"> IF(B268="","",setValueToTime(B268))</f>
        <v>0h15min</v>
      </c>
      <c r="D268" s="165" t="s">
        <v>112</v>
      </c>
      <c r="E268" s="239"/>
      <c r="F268" s="240"/>
      <c r="G268" s="50"/>
    </row>
    <row r="269" spans="1:7" s="51" customFormat="1">
      <c r="A269" s="52" t="s">
        <v>60</v>
      </c>
      <c r="B269" s="53">
        <v>33</v>
      </c>
      <c r="C269" s="152" t="str">
        <f t="shared" ref="C269:C275" si="22" xml:space="preserve"> IF(B269="","",setValueToTime(B269))</f>
        <v>2h45min</v>
      </c>
      <c r="D269" s="166" t="s">
        <v>113</v>
      </c>
      <c r="E269" s="241"/>
      <c r="F269" s="242"/>
      <c r="G269" s="50"/>
    </row>
    <row r="270" spans="1:7" s="51" customFormat="1">
      <c r="A270" s="52"/>
      <c r="B270" s="53"/>
      <c r="C270" s="152" t="str">
        <f t="shared" si="22"/>
        <v/>
      </c>
      <c r="D270" s="54"/>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6</v>
      </c>
      <c r="C278" s="162"/>
      <c r="D278" s="81" t="s">
        <v>14</v>
      </c>
      <c r="E278" s="93">
        <v>44225</v>
      </c>
      <c r="F278" s="125" t="s">
        <v>91</v>
      </c>
      <c r="G278" s="45"/>
    </row>
    <row r="279" spans="1:7" s="46" customFormat="1" ht="30" customHeight="1" thickBot="1">
      <c r="A279" s="79" t="s">
        <v>4</v>
      </c>
      <c r="B279" s="149" t="s">
        <v>38</v>
      </c>
      <c r="C279" s="150"/>
      <c r="D279" s="79" t="s">
        <v>12</v>
      </c>
      <c r="E279" s="237" t="s">
        <v>13</v>
      </c>
      <c r="F279" s="238"/>
      <c r="G279" s="45"/>
    </row>
    <row r="280" spans="1:7" s="51" customFormat="1">
      <c r="A280" s="47" t="s">
        <v>58</v>
      </c>
      <c r="B280" s="48">
        <v>33</v>
      </c>
      <c r="C280" s="151" t="str">
        <f xml:space="preserve"> IF(B280="","",setValueToTime(B280))</f>
        <v>2h45min</v>
      </c>
      <c r="D280" s="165" t="s">
        <v>96</v>
      </c>
      <c r="E280" s="239"/>
      <c r="F280" s="240"/>
      <c r="G280" s="50"/>
    </row>
    <row r="281" spans="1:7" s="51" customFormat="1">
      <c r="A281" s="52" t="s">
        <v>15</v>
      </c>
      <c r="B281" s="53">
        <v>3</v>
      </c>
      <c r="C281" s="152" t="str">
        <f t="shared" ref="C281:C287" si="23" xml:space="preserve"> IF(B281="","",setValueToTime(B281))</f>
        <v>0h15min</v>
      </c>
      <c r="D281" s="166" t="s">
        <v>94</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36</v>
      </c>
      <c r="C288" s="110" t="str">
        <f xml:space="preserve"> setValueToTime(B288)</f>
        <v>3h</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5</v>
      </c>
      <c r="C290" s="162"/>
      <c r="D290" s="81" t="s">
        <v>14</v>
      </c>
      <c r="E290" s="93">
        <v>44225</v>
      </c>
      <c r="F290" s="125" t="s">
        <v>86</v>
      </c>
      <c r="G290" s="45"/>
    </row>
    <row r="291" spans="1:7" s="46" customFormat="1" ht="30" customHeight="1" thickBot="1">
      <c r="A291" s="79" t="s">
        <v>4</v>
      </c>
      <c r="B291" s="149" t="s">
        <v>38</v>
      </c>
      <c r="C291" s="150"/>
      <c r="D291" s="79" t="s">
        <v>12</v>
      </c>
      <c r="E291" s="237" t="s">
        <v>13</v>
      </c>
      <c r="F291" s="238"/>
      <c r="G291" s="45"/>
    </row>
    <row r="292" spans="1:7" s="51" customFormat="1">
      <c r="A292" s="47" t="s">
        <v>58</v>
      </c>
      <c r="B292" s="48">
        <v>36</v>
      </c>
      <c r="C292" s="151" t="str">
        <f xml:space="preserve"> IF(B292="","",setValueToTime(B292))</f>
        <v>3h</v>
      </c>
      <c r="D292" s="165" t="s">
        <v>95</v>
      </c>
      <c r="E292" s="239"/>
      <c r="F292" s="240"/>
      <c r="G292" s="50"/>
    </row>
    <row r="293" spans="1:7" s="51" customFormat="1">
      <c r="A293" s="52"/>
      <c r="B293" s="53"/>
      <c r="C293" s="152" t="str">
        <f t="shared" ref="C293:C299" si="24" xml:space="preserve"> IF(B293="","",setValueToTime(B293))</f>
        <v/>
      </c>
      <c r="D293" s="54"/>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36</v>
      </c>
      <c r="C300" s="110" t="str">
        <f xml:space="preserve"> setValueToTime(B300)</f>
        <v>3h</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4</v>
      </c>
      <c r="C302" s="162"/>
      <c r="D302" s="81" t="s">
        <v>14</v>
      </c>
      <c r="E302" s="93">
        <v>44224</v>
      </c>
      <c r="F302" s="125" t="s">
        <v>91</v>
      </c>
      <c r="G302" s="45"/>
    </row>
    <row r="303" spans="1:7" s="46" customFormat="1" ht="30" customHeight="1" thickBot="1">
      <c r="A303" s="79" t="s">
        <v>4</v>
      </c>
      <c r="B303" s="149" t="s">
        <v>38</v>
      </c>
      <c r="C303" s="150"/>
      <c r="D303" s="79" t="s">
        <v>12</v>
      </c>
      <c r="E303" s="237" t="s">
        <v>13</v>
      </c>
      <c r="F303" s="238"/>
      <c r="G303" s="45"/>
    </row>
    <row r="304" spans="1:7" s="51" customFormat="1">
      <c r="A304" s="47" t="s">
        <v>50</v>
      </c>
      <c r="B304" s="48">
        <v>18</v>
      </c>
      <c r="C304" s="151" t="str">
        <f xml:space="preserve"> IF(B304="","",setValueToTime(B304))</f>
        <v>1h30min</v>
      </c>
      <c r="D304" s="165" t="s">
        <v>92</v>
      </c>
      <c r="E304" s="239"/>
      <c r="F304" s="240"/>
      <c r="G304" s="50"/>
    </row>
    <row r="305" spans="1:7" s="51" customFormat="1">
      <c r="A305" s="52" t="s">
        <v>58</v>
      </c>
      <c r="B305" s="53">
        <v>15</v>
      </c>
      <c r="C305" s="152" t="str">
        <f t="shared" ref="C305:C311" si="25" xml:space="preserve"> IF(B305="","",setValueToTime(B305))</f>
        <v>1h15min</v>
      </c>
      <c r="D305" s="166" t="s">
        <v>93</v>
      </c>
      <c r="E305" s="241"/>
      <c r="F305" s="242"/>
      <c r="G305" s="50"/>
    </row>
    <row r="306" spans="1:7" s="51" customFormat="1">
      <c r="A306" s="52" t="s">
        <v>15</v>
      </c>
      <c r="B306" s="53">
        <v>3</v>
      </c>
      <c r="C306" s="152" t="str">
        <f t="shared" si="25"/>
        <v>0h15min</v>
      </c>
      <c r="D306" s="166" t="s">
        <v>94</v>
      </c>
      <c r="E306" s="241"/>
      <c r="F306" s="242"/>
      <c r="G306" s="50"/>
    </row>
    <row r="307" spans="1:7" s="51" customFormat="1">
      <c r="A307" s="52"/>
      <c r="B307" s="53"/>
      <c r="C307" s="152" t="str">
        <f t="shared" si="25"/>
        <v/>
      </c>
      <c r="D307" s="54"/>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36</v>
      </c>
      <c r="C312" s="110" t="str">
        <f xml:space="preserve"> setValueToTime(B312)</f>
        <v>3h</v>
      </c>
      <c r="D312" s="119"/>
      <c r="E312" s="235"/>
      <c r="F312" s="236"/>
      <c r="G312" s="50"/>
    </row>
    <row r="313" spans="1:7" s="58" customFormat="1" ht="15" thickBot="1">
      <c r="A313" s="78"/>
      <c r="B313" s="78"/>
      <c r="C313" s="78"/>
      <c r="D313" s="78"/>
      <c r="E313" s="78"/>
      <c r="F313" s="78"/>
      <c r="G313" s="57"/>
    </row>
    <row r="314" spans="1:7" s="46" customFormat="1" ht="30" customHeight="1" thickBot="1">
      <c r="A314" s="80" t="s">
        <v>11</v>
      </c>
      <c r="B314" s="162">
        <v>3</v>
      </c>
      <c r="C314" s="162"/>
      <c r="D314" s="81" t="s">
        <v>14</v>
      </c>
      <c r="E314" s="93">
        <v>44224</v>
      </c>
      <c r="F314" s="125" t="s">
        <v>86</v>
      </c>
      <c r="G314" s="45"/>
    </row>
    <row r="315" spans="1:7" s="46" customFormat="1" ht="30" customHeight="1" thickBot="1">
      <c r="A315" s="79" t="s">
        <v>4</v>
      </c>
      <c r="B315" s="149" t="s">
        <v>38</v>
      </c>
      <c r="C315" s="150"/>
      <c r="D315" s="79" t="s">
        <v>12</v>
      </c>
      <c r="E315" s="237" t="s">
        <v>13</v>
      </c>
      <c r="F315" s="238"/>
      <c r="G315" s="45"/>
    </row>
    <row r="316" spans="1:7" s="51" customFormat="1">
      <c r="A316" s="47" t="s">
        <v>15</v>
      </c>
      <c r="B316" s="48">
        <v>12</v>
      </c>
      <c r="C316" s="151" t="str">
        <f xml:space="preserve"> IF(B316="","",setValueToTime(B316))</f>
        <v>1h</v>
      </c>
      <c r="D316" s="165" t="s">
        <v>87</v>
      </c>
      <c r="E316" s="239"/>
      <c r="F316" s="240"/>
      <c r="G316" s="50"/>
    </row>
    <row r="317" spans="1:7" s="51" customFormat="1">
      <c r="A317" s="52" t="s">
        <v>50</v>
      </c>
      <c r="B317" s="53">
        <v>18</v>
      </c>
      <c r="C317" s="152" t="str">
        <f t="shared" ref="C317:C323" si="26" xml:space="preserve"> IF(B317="","",setValueToTime(B317))</f>
        <v>1h30min</v>
      </c>
      <c r="D317" s="166" t="s">
        <v>88</v>
      </c>
      <c r="E317" s="241"/>
      <c r="F317" s="242"/>
      <c r="G317" s="50"/>
    </row>
    <row r="318" spans="1:7" s="51" customFormat="1">
      <c r="A318" s="52" t="s">
        <v>52</v>
      </c>
      <c r="B318" s="53">
        <v>12</v>
      </c>
      <c r="C318" s="152" t="str">
        <f t="shared" si="26"/>
        <v>1h</v>
      </c>
      <c r="D318" s="166" t="s">
        <v>89</v>
      </c>
      <c r="E318" s="241"/>
      <c r="F318" s="242"/>
      <c r="G318" s="50"/>
    </row>
    <row r="319" spans="1:7" s="51" customFormat="1">
      <c r="A319" s="52" t="s">
        <v>15</v>
      </c>
      <c r="B319" s="53">
        <v>3</v>
      </c>
      <c r="C319" s="152" t="str">
        <f t="shared" si="26"/>
        <v>0h15min</v>
      </c>
      <c r="D319" s="166" t="s">
        <v>90</v>
      </c>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10" t="s">
        <v>27</v>
      </c>
      <c r="B324" s="83">
        <f>SUM(B316:B323)</f>
        <v>45</v>
      </c>
      <c r="C324" s="110" t="str">
        <f xml:space="preserve"> setValueToTime(B324)</f>
        <v>3h45min</v>
      </c>
      <c r="D324" s="119"/>
      <c r="E324" s="235"/>
      <c r="F324" s="236"/>
      <c r="G324" s="50"/>
    </row>
    <row r="325" spans="1:7" s="58" customFormat="1" ht="15" thickBot="1">
      <c r="A325" s="78"/>
      <c r="B325" s="78"/>
      <c r="C325" s="78"/>
      <c r="D325" s="78"/>
      <c r="E325" s="78"/>
      <c r="F325" s="78"/>
      <c r="G325" s="57"/>
    </row>
    <row r="326" spans="1:7" s="46" customFormat="1" ht="30" customHeight="1" thickBot="1">
      <c r="A326" s="80" t="s">
        <v>11</v>
      </c>
      <c r="B326" s="162">
        <v>2</v>
      </c>
      <c r="C326" s="162"/>
      <c r="D326" s="81" t="s">
        <v>14</v>
      </c>
      <c r="E326" s="93">
        <v>44223</v>
      </c>
      <c r="F326" s="125" t="s">
        <v>75</v>
      </c>
      <c r="G326" s="45"/>
    </row>
    <row r="327" spans="1:7" s="46" customFormat="1" ht="30" customHeight="1" thickBot="1">
      <c r="A327" s="79" t="s">
        <v>4</v>
      </c>
      <c r="B327" s="149" t="s">
        <v>38</v>
      </c>
      <c r="C327" s="150"/>
      <c r="D327" s="79" t="s">
        <v>12</v>
      </c>
      <c r="E327" s="237" t="s">
        <v>13</v>
      </c>
      <c r="F327" s="238"/>
      <c r="G327" s="45"/>
    </row>
    <row r="328" spans="1:7" s="51" customFormat="1">
      <c r="A328" s="47" t="s">
        <v>58</v>
      </c>
      <c r="B328" s="48">
        <v>36</v>
      </c>
      <c r="C328" s="151"/>
      <c r="D328" s="165" t="s">
        <v>76</v>
      </c>
      <c r="E328" s="239"/>
      <c r="F328" s="240"/>
      <c r="G328" s="50"/>
    </row>
    <row r="329" spans="1:7" s="51" customFormat="1">
      <c r="A329" s="52" t="s">
        <v>57</v>
      </c>
      <c r="B329" s="53">
        <v>15</v>
      </c>
      <c r="C329" s="152"/>
      <c r="D329" s="166" t="s">
        <v>78</v>
      </c>
      <c r="E329" s="241"/>
      <c r="F329" s="242"/>
      <c r="G329" s="50"/>
    </row>
    <row r="330" spans="1:7" s="51" customFormat="1">
      <c r="A330" s="52"/>
      <c r="B330" s="53"/>
      <c r="C330" s="152" t="str">
        <f t="shared" ref="C330:C335" si="27" xml:space="preserve"> IF(B330="","",setValueToTime(B330))</f>
        <v/>
      </c>
      <c r="D330" s="54"/>
      <c r="E330" s="241"/>
      <c r="F330" s="242"/>
      <c r="G330" s="50"/>
    </row>
    <row r="331" spans="1:7" s="51" customFormat="1">
      <c r="A331" s="52"/>
      <c r="B331" s="53"/>
      <c r="C331" s="152" t="str">
        <f t="shared" si="27"/>
        <v/>
      </c>
      <c r="D331" s="54"/>
      <c r="E331" s="241"/>
      <c r="F331" s="242"/>
      <c r="G331" s="50"/>
    </row>
    <row r="332" spans="1:7" s="51" customFormat="1">
      <c r="A332" s="53"/>
      <c r="B332" s="53"/>
      <c r="C332" s="153" t="str">
        <f t="shared" si="27"/>
        <v/>
      </c>
      <c r="D332" s="54"/>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15" thickBot="1">
      <c r="A336" s="110" t="s">
        <v>27</v>
      </c>
      <c r="B336" s="83">
        <f>SUM(B328:B335)</f>
        <v>51</v>
      </c>
      <c r="C336" s="110" t="str">
        <f xml:space="preserve"> setValueToTime(B336)</f>
        <v>4h15min</v>
      </c>
      <c r="D336" s="119"/>
      <c r="E336" s="235"/>
      <c r="F336" s="236"/>
      <c r="G336" s="50"/>
    </row>
    <row r="337" spans="1:7" s="58" customFormat="1" ht="15" thickBot="1">
      <c r="A337" s="78"/>
      <c r="B337" s="78"/>
      <c r="C337" s="78"/>
      <c r="D337" s="78"/>
      <c r="E337" s="78"/>
      <c r="F337" s="78"/>
      <c r="G337" s="57"/>
    </row>
    <row r="338" spans="1:7" s="46" customFormat="1" ht="30" customHeight="1" thickBot="1">
      <c r="A338" s="80" t="s">
        <v>11</v>
      </c>
      <c r="B338" s="162">
        <v>1</v>
      </c>
      <c r="C338" s="162"/>
      <c r="D338" s="81" t="s">
        <v>14</v>
      </c>
      <c r="E338" s="93">
        <v>44223</v>
      </c>
      <c r="F338" s="125" t="s">
        <v>74</v>
      </c>
      <c r="G338" s="45"/>
    </row>
    <row r="339" spans="1:7" s="46" customFormat="1" ht="30" customHeight="1" thickBot="1">
      <c r="A339" s="79" t="s">
        <v>4</v>
      </c>
      <c r="B339" s="149" t="s">
        <v>38</v>
      </c>
      <c r="C339" s="150"/>
      <c r="D339" s="79" t="s">
        <v>12</v>
      </c>
      <c r="E339" s="237" t="s">
        <v>13</v>
      </c>
      <c r="F339" s="238"/>
      <c r="G339" s="45"/>
    </row>
    <row r="340" spans="1:7" s="51" customFormat="1">
      <c r="A340" s="47" t="s">
        <v>51</v>
      </c>
      <c r="B340" s="48">
        <v>12</v>
      </c>
      <c r="C340" s="152" t="str">
        <f xml:space="preserve"> IF(B340="","",setValueToTime(B340))</f>
        <v>1h</v>
      </c>
      <c r="D340" s="165" t="s">
        <v>68</v>
      </c>
      <c r="E340" s="239"/>
      <c r="F340" s="240"/>
      <c r="G340" s="50"/>
    </row>
    <row r="341" spans="1:7" s="51" customFormat="1">
      <c r="A341" s="52" t="s">
        <v>56</v>
      </c>
      <c r="B341" s="53">
        <v>9</v>
      </c>
      <c r="C341" s="152" t="str">
        <f xml:space="preserve"> IF(B341="","",setValueToTime(B341))</f>
        <v>0h45min</v>
      </c>
      <c r="D341" s="166" t="s">
        <v>70</v>
      </c>
      <c r="E341" s="241"/>
      <c r="F341" s="242"/>
      <c r="G341" s="50"/>
    </row>
    <row r="342" spans="1:7" s="51" customFormat="1" ht="27">
      <c r="A342" s="52" t="s">
        <v>64</v>
      </c>
      <c r="B342" s="53">
        <v>9</v>
      </c>
      <c r="C342" s="152" t="str">
        <f t="shared" ref="C342:C347" si="28" xml:space="preserve"> IF(B342="","",setValueToTime(B342))</f>
        <v>0h45min</v>
      </c>
      <c r="D342" s="166" t="s">
        <v>72</v>
      </c>
      <c r="E342" s="241"/>
      <c r="F342" s="242"/>
      <c r="G342" s="50"/>
    </row>
    <row r="343" spans="1:7" s="51" customFormat="1" ht="27">
      <c r="A343" s="52" t="s">
        <v>65</v>
      </c>
      <c r="B343" s="53">
        <v>9</v>
      </c>
      <c r="C343" s="152" t="str">
        <f t="shared" si="28"/>
        <v>0h45min</v>
      </c>
      <c r="D343" s="166" t="s">
        <v>73</v>
      </c>
      <c r="E343" s="241"/>
      <c r="F343" s="242"/>
      <c r="G343" s="50"/>
    </row>
    <row r="344" spans="1:7" s="51" customFormat="1">
      <c r="A344" s="53" t="s">
        <v>58</v>
      </c>
      <c r="B344" s="53">
        <v>12</v>
      </c>
      <c r="C344" s="153" t="str">
        <f t="shared" si="28"/>
        <v>1h</v>
      </c>
      <c r="D344" s="166" t="s">
        <v>77</v>
      </c>
      <c r="E344" s="241"/>
      <c r="F344" s="242"/>
      <c r="G344" s="50"/>
    </row>
    <row r="345" spans="1:7" s="51" customFormat="1">
      <c r="A345" s="53"/>
      <c r="B345" s="53"/>
      <c r="C345" s="153" t="str">
        <f t="shared" si="28"/>
        <v/>
      </c>
      <c r="D345" s="54"/>
      <c r="E345" s="241"/>
      <c r="F345" s="242"/>
      <c r="G345" s="50"/>
    </row>
    <row r="346" spans="1:7" s="51" customFormat="1">
      <c r="A346" s="53"/>
      <c r="B346" s="53"/>
      <c r="C346" s="153" t="str">
        <f t="shared" si="28"/>
        <v/>
      </c>
      <c r="D346" s="54"/>
      <c r="E346" s="241"/>
      <c r="F346" s="242"/>
      <c r="G346" s="50"/>
    </row>
    <row r="347" spans="1:7" s="51" customFormat="1" ht="15" thickBot="1">
      <c r="A347" s="55"/>
      <c r="B347" s="55"/>
      <c r="C347" s="154" t="str">
        <f t="shared" si="28"/>
        <v/>
      </c>
      <c r="D347" s="56"/>
      <c r="E347" s="243"/>
      <c r="F347" s="244"/>
      <c r="G347" s="50"/>
    </row>
    <row r="348" spans="1:7" s="51" customFormat="1" ht="15" thickBot="1">
      <c r="A348" s="110" t="s">
        <v>27</v>
      </c>
      <c r="B348" s="83">
        <f>SUM(B340:B347)</f>
        <v>51</v>
      </c>
      <c r="C348" s="110" t="str">
        <f xml:space="preserve"> setValueToTime(B348)</f>
        <v>4h15min</v>
      </c>
      <c r="D348" s="119"/>
      <c r="E348" s="235"/>
      <c r="F348" s="236"/>
      <c r="G348" s="50"/>
    </row>
    <row r="349" spans="1:7" s="58" customFormat="1">
      <c r="A349" s="78"/>
      <c r="B349" s="78"/>
      <c r="C349" s="78"/>
      <c r="D349" s="78"/>
      <c r="E349" s="78"/>
      <c r="F349" s="78"/>
      <c r="G349" s="57"/>
    </row>
  </sheetData>
  <sheetProtection formatRows="0" insertRows="0" insertHyperlinks="0" deleteRows="0" selectLockedCells="1"/>
  <mergeCells count="290">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20:F120"/>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45:F345"/>
    <mergeCell ref="E324:F324"/>
    <mergeCell ref="E308:F308"/>
    <mergeCell ref="E309:F309"/>
    <mergeCell ref="E310:F310"/>
    <mergeCell ref="E311:F311"/>
    <mergeCell ref="E312:F312"/>
    <mergeCell ref="E303:F303"/>
    <mergeCell ref="E304:F304"/>
    <mergeCell ref="E305:F305"/>
    <mergeCell ref="E306:F306"/>
    <mergeCell ref="E307:F307"/>
    <mergeCell ref="E315:F315"/>
    <mergeCell ref="E316:F316"/>
    <mergeCell ref="E317:F317"/>
    <mergeCell ref="E318:F318"/>
    <mergeCell ref="E319:F319"/>
    <mergeCell ref="E320:F320"/>
    <mergeCell ref="E321:F321"/>
    <mergeCell ref="E322:F322"/>
    <mergeCell ref="E323:F323"/>
    <mergeCell ref="E296:F296"/>
    <mergeCell ref="E297:F297"/>
    <mergeCell ref="E298:F298"/>
    <mergeCell ref="E299:F299"/>
    <mergeCell ref="E300:F300"/>
    <mergeCell ref="E291:F291"/>
    <mergeCell ref="E292:F292"/>
    <mergeCell ref="E293:F293"/>
    <mergeCell ref="E294:F294"/>
    <mergeCell ref="E295:F295"/>
    <mergeCell ref="E284:F284"/>
    <mergeCell ref="E285:F285"/>
    <mergeCell ref="E286:F286"/>
    <mergeCell ref="E287:F287"/>
    <mergeCell ref="E288:F288"/>
    <mergeCell ref="E279:F279"/>
    <mergeCell ref="E280:F280"/>
    <mergeCell ref="E281:F281"/>
    <mergeCell ref="E282:F282"/>
    <mergeCell ref="E283:F283"/>
    <mergeCell ref="E272:F272"/>
    <mergeCell ref="E273:F273"/>
    <mergeCell ref="E274:F274"/>
    <mergeCell ref="E275:F275"/>
    <mergeCell ref="E276:F276"/>
    <mergeCell ref="E267:F267"/>
    <mergeCell ref="E268:F268"/>
    <mergeCell ref="E269:F269"/>
    <mergeCell ref="E270:F270"/>
    <mergeCell ref="E271:F271"/>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12:F12"/>
    <mergeCell ref="E3:F3"/>
    <mergeCell ref="E4:F4"/>
    <mergeCell ref="E5:F5"/>
    <mergeCell ref="E6:F6"/>
    <mergeCell ref="E7:F7"/>
    <mergeCell ref="E8:F8"/>
    <mergeCell ref="E9:F9"/>
    <mergeCell ref="E10:F10"/>
    <mergeCell ref="E11:F11"/>
  </mergeCells>
  <phoneticPr fontId="0" type="noConversion"/>
  <conditionalFormatting sqref="B348">
    <cfRule type="cellIs" dxfId="58" priority="29" operator="greaterThan">
      <formula>60</formula>
    </cfRule>
  </conditionalFormatting>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328:B335 B340:B347 B316:B323 B304:B311 B292:B299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328:A335 A340:A347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337"/>
  <sheetViews>
    <sheetView showGridLines="0" tabSelected="1" zoomScaleNormal="100" zoomScaleSheetLayoutView="98" workbookViewId="0">
      <pane ySplit="1" topLeftCell="A2" activePane="bottomLeft" state="frozen"/>
      <selection pane="bottomLeft" activeCell="E5" sqref="E5:F5"/>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28</v>
      </c>
      <c r="C2" s="163"/>
      <c r="D2" s="156" t="s">
        <v>14</v>
      </c>
      <c r="E2" s="157" t="s">
        <v>192</v>
      </c>
      <c r="F2" s="158" t="s">
        <v>74</v>
      </c>
      <c r="G2" s="45"/>
    </row>
    <row r="3" spans="1:7" s="46" customFormat="1" ht="30" customHeight="1" thickBot="1">
      <c r="A3" s="77" t="s">
        <v>4</v>
      </c>
      <c r="B3" s="160" t="s">
        <v>38</v>
      </c>
      <c r="C3" s="159"/>
      <c r="D3" s="77" t="s">
        <v>12</v>
      </c>
      <c r="E3" s="247" t="s">
        <v>13</v>
      </c>
      <c r="F3" s="248"/>
      <c r="G3" s="45"/>
    </row>
    <row r="4" spans="1:7" s="51" customFormat="1" ht="40.5">
      <c r="A4" s="47" t="s">
        <v>117</v>
      </c>
      <c r="B4" s="48">
        <v>24</v>
      </c>
      <c r="C4" s="151" t="str">
        <f xml:space="preserve"> IF(B4="","",setValueToTime(B4))</f>
        <v>2h</v>
      </c>
      <c r="D4" s="165" t="s">
        <v>193</v>
      </c>
      <c r="E4" s="239"/>
      <c r="F4" s="240"/>
      <c r="G4" s="50"/>
    </row>
    <row r="5" spans="1:7" s="51" customFormat="1" ht="40.5">
      <c r="A5" s="52" t="s">
        <v>63</v>
      </c>
      <c r="B5" s="53">
        <v>18</v>
      </c>
      <c r="C5" s="152" t="str">
        <f t="shared" ref="C5:C11" si="0" xml:space="preserve"> IF(B5="","",setValueToTime(B5))</f>
        <v>1h30min</v>
      </c>
      <c r="D5" s="166" t="s">
        <v>194</v>
      </c>
      <c r="E5" s="250"/>
      <c r="F5" s="242"/>
      <c r="G5" s="50"/>
    </row>
    <row r="6" spans="1:7" s="51" customFormat="1">
      <c r="A6" s="52" t="s">
        <v>15</v>
      </c>
      <c r="B6" s="53">
        <v>3</v>
      </c>
      <c r="C6" s="152" t="str">
        <f t="shared" si="0"/>
        <v>0h15min</v>
      </c>
      <c r="D6" s="166" t="s">
        <v>106</v>
      </c>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45</v>
      </c>
      <c r="C12" s="161" t="str">
        <f xml:space="preserve"> setValueToTime(B12)</f>
        <v>3h45min</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27</v>
      </c>
      <c r="C14" s="163"/>
      <c r="D14" s="156" t="s">
        <v>14</v>
      </c>
      <c r="E14" s="157">
        <v>44256</v>
      </c>
      <c r="F14" s="158" t="s">
        <v>74</v>
      </c>
      <c r="G14" s="45"/>
    </row>
    <row r="15" spans="1:7" s="46" customFormat="1" ht="30" customHeight="1" thickBot="1">
      <c r="A15" s="77" t="s">
        <v>4</v>
      </c>
      <c r="B15" s="160" t="s">
        <v>38</v>
      </c>
      <c r="C15" s="159"/>
      <c r="D15" s="77" t="s">
        <v>12</v>
      </c>
      <c r="E15" s="247" t="s">
        <v>13</v>
      </c>
      <c r="F15" s="248"/>
      <c r="G15" s="45"/>
    </row>
    <row r="16" spans="1:7" s="51" customFormat="1" ht="27">
      <c r="A16" s="47" t="s">
        <v>117</v>
      </c>
      <c r="B16" s="48">
        <v>15</v>
      </c>
      <c r="C16" s="151" t="str">
        <f xml:space="preserve"> IF(B16="","",setValueToTime(B16))</f>
        <v>1h15min</v>
      </c>
      <c r="D16" s="165" t="s">
        <v>190</v>
      </c>
      <c r="E16" s="239"/>
      <c r="F16" s="240"/>
      <c r="G16" s="50"/>
    </row>
    <row r="17" spans="1:7" s="51" customFormat="1" ht="27">
      <c r="A17" s="52" t="s">
        <v>66</v>
      </c>
      <c r="B17" s="53">
        <v>18</v>
      </c>
      <c r="C17" s="152" t="str">
        <f t="shared" ref="C17:C23" si="1" xml:space="preserve"> IF(B17="","",setValueToTime(B17))</f>
        <v>1h30min</v>
      </c>
      <c r="D17" s="166" t="s">
        <v>191</v>
      </c>
      <c r="E17" s="241"/>
      <c r="F17" s="242"/>
      <c r="G17" s="50"/>
    </row>
    <row r="18" spans="1:7" s="51" customFormat="1">
      <c r="A18" s="52" t="s">
        <v>15</v>
      </c>
      <c r="B18" s="53">
        <v>3</v>
      </c>
      <c r="C18" s="152" t="str">
        <f t="shared" si="1"/>
        <v>0h15min</v>
      </c>
      <c r="D18" s="166" t="s">
        <v>106</v>
      </c>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26</v>
      </c>
      <c r="C26" s="163"/>
      <c r="D26" s="156" t="s">
        <v>14</v>
      </c>
      <c r="E26" s="157" t="s">
        <v>184</v>
      </c>
      <c r="F26" s="158" t="s">
        <v>75</v>
      </c>
      <c r="G26" s="45"/>
    </row>
    <row r="27" spans="1:7" s="46" customFormat="1" ht="30" customHeight="1" thickBot="1">
      <c r="A27" s="77" t="s">
        <v>4</v>
      </c>
      <c r="B27" s="160" t="s">
        <v>38</v>
      </c>
      <c r="C27" s="159"/>
      <c r="D27" s="77" t="s">
        <v>12</v>
      </c>
      <c r="E27" s="247" t="s">
        <v>13</v>
      </c>
      <c r="F27" s="248"/>
      <c r="G27" s="45"/>
    </row>
    <row r="28" spans="1:7" s="51" customFormat="1" ht="54">
      <c r="A28" s="47" t="s">
        <v>117</v>
      </c>
      <c r="B28" s="48">
        <v>33</v>
      </c>
      <c r="C28" s="151" t="str">
        <f xml:space="preserve"> IF(B28="","",setValueToTime(B28))</f>
        <v>2h45min</v>
      </c>
      <c r="D28" s="165" t="s">
        <v>186</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61" t="s">
        <v>27</v>
      </c>
      <c r="B36" s="82">
        <f>SUM(B28:B35)</f>
        <v>36</v>
      </c>
      <c r="C36" s="161" t="str">
        <f xml:space="preserve"> setValueToTime(B36)</f>
        <v>3h</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25</v>
      </c>
      <c r="C38" s="163"/>
      <c r="D38" s="156" t="s">
        <v>14</v>
      </c>
      <c r="E38" s="157" t="s">
        <v>184</v>
      </c>
      <c r="F38" s="158" t="s">
        <v>74</v>
      </c>
      <c r="G38" s="45"/>
    </row>
    <row r="39" spans="1:7" s="46" customFormat="1" ht="30" customHeight="1" thickBot="1">
      <c r="A39" s="77" t="s">
        <v>4</v>
      </c>
      <c r="B39" s="160" t="s">
        <v>38</v>
      </c>
      <c r="C39" s="159"/>
      <c r="D39" s="77" t="s">
        <v>12</v>
      </c>
      <c r="E39" s="247" t="s">
        <v>13</v>
      </c>
      <c r="F39" s="248"/>
      <c r="G39" s="45"/>
    </row>
    <row r="40" spans="1:7" s="51" customFormat="1" ht="108">
      <c r="A40" s="47" t="s">
        <v>117</v>
      </c>
      <c r="B40" s="48">
        <v>33</v>
      </c>
      <c r="C40" s="151" t="str">
        <f xml:space="preserve"> IF(B40="","",setValueToTime(B40))</f>
        <v>2h45min</v>
      </c>
      <c r="D40" s="165" t="s">
        <v>185</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24</v>
      </c>
      <c r="C50" s="163"/>
      <c r="D50" s="156" t="s">
        <v>14</v>
      </c>
      <c r="E50" s="157" t="s">
        <v>178</v>
      </c>
      <c r="F50" s="158" t="s">
        <v>75</v>
      </c>
      <c r="G50" s="45"/>
    </row>
    <row r="51" spans="1:7" s="46" customFormat="1" ht="30" customHeight="1" thickBot="1">
      <c r="A51" s="77" t="s">
        <v>4</v>
      </c>
      <c r="B51" s="160" t="s">
        <v>38</v>
      </c>
      <c r="C51" s="159"/>
      <c r="D51" s="77" t="s">
        <v>12</v>
      </c>
      <c r="E51" s="247" t="s">
        <v>13</v>
      </c>
      <c r="F51" s="248"/>
      <c r="G51" s="45"/>
    </row>
    <row r="52" spans="1:7" s="51" customFormat="1" ht="27">
      <c r="A52" s="47" t="s">
        <v>117</v>
      </c>
      <c r="B52" s="48">
        <v>16</v>
      </c>
      <c r="C52" s="151" t="str">
        <f xml:space="preserve"> IF(B52="","",setValueToTime(B52))</f>
        <v>1h20min</v>
      </c>
      <c r="D52" s="165" t="s">
        <v>182</v>
      </c>
      <c r="E52" s="239"/>
      <c r="F52" s="240"/>
      <c r="G52" s="50"/>
    </row>
    <row r="53" spans="1:7" s="51" customFormat="1" ht="40.5">
      <c r="A53" s="52" t="s">
        <v>66</v>
      </c>
      <c r="B53" s="53">
        <v>17</v>
      </c>
      <c r="C53" s="152" t="str">
        <f t="shared" ref="C53:C59" si="4" xml:space="preserve"> IF(B53="","",setValueToTime(B53))</f>
        <v>1h25min</v>
      </c>
      <c r="D53" s="166" t="s">
        <v>183</v>
      </c>
      <c r="E53" s="241"/>
      <c r="F53" s="242"/>
      <c r="G53" s="50"/>
    </row>
    <row r="54" spans="1:7" s="51" customFormat="1">
      <c r="A54" s="52" t="s">
        <v>15</v>
      </c>
      <c r="B54" s="53">
        <v>3</v>
      </c>
      <c r="C54" s="152" t="str">
        <f t="shared" si="4"/>
        <v>0h15min</v>
      </c>
      <c r="D54" s="166" t="s">
        <v>151</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61" t="s">
        <v>27</v>
      </c>
      <c r="B60" s="82">
        <f>SUM(B52:B59)</f>
        <v>36</v>
      </c>
      <c r="C60" s="161" t="str">
        <f xml:space="preserve"> setValueToTime(B60)</f>
        <v>3h</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23</v>
      </c>
      <c r="C62" s="163"/>
      <c r="D62" s="156" t="s">
        <v>14</v>
      </c>
      <c r="E62" s="157" t="s">
        <v>178</v>
      </c>
      <c r="F62" s="158" t="s">
        <v>74</v>
      </c>
      <c r="G62" s="45"/>
    </row>
    <row r="63" spans="1:7" s="46" customFormat="1" ht="30" customHeight="1" thickBot="1">
      <c r="A63" s="77" t="s">
        <v>4</v>
      </c>
      <c r="B63" s="160" t="s">
        <v>38</v>
      </c>
      <c r="C63" s="159"/>
      <c r="D63" s="77" t="s">
        <v>12</v>
      </c>
      <c r="E63" s="247" t="s">
        <v>13</v>
      </c>
      <c r="F63" s="248"/>
      <c r="G63" s="45"/>
    </row>
    <row r="64" spans="1:7" s="51" customFormat="1" ht="40.5">
      <c r="A64" s="47" t="s">
        <v>117</v>
      </c>
      <c r="B64" s="48">
        <v>42</v>
      </c>
      <c r="C64" s="151" t="str">
        <f xml:space="preserve"> IF(B64="","",setValueToTime(B64))</f>
        <v>3h30min</v>
      </c>
      <c r="D64" s="165" t="s">
        <v>181</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27.75" thickBot="1">
      <c r="A72" s="161" t="s">
        <v>27</v>
      </c>
      <c r="B72" s="82">
        <f>SUM(B64:B71)</f>
        <v>45</v>
      </c>
      <c r="C72" s="161" t="str">
        <f xml:space="preserve"> setValueToTime(B72)</f>
        <v>3h45min</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22</v>
      </c>
      <c r="C74" s="163"/>
      <c r="D74" s="156" t="s">
        <v>14</v>
      </c>
      <c r="E74" s="157" t="s">
        <v>177</v>
      </c>
      <c r="F74" s="158" t="s">
        <v>75</v>
      </c>
      <c r="G74" s="45"/>
    </row>
    <row r="75" spans="1:7" s="46" customFormat="1" ht="30" customHeight="1" thickBot="1">
      <c r="A75" s="77" t="s">
        <v>4</v>
      </c>
      <c r="B75" s="160" t="s">
        <v>38</v>
      </c>
      <c r="C75" s="159"/>
      <c r="D75" s="77" t="s">
        <v>12</v>
      </c>
      <c r="E75" s="247" t="s">
        <v>13</v>
      </c>
      <c r="F75" s="248"/>
      <c r="G75" s="45"/>
    </row>
    <row r="76" spans="1:7" s="51" customFormat="1">
      <c r="A76" s="47" t="s">
        <v>66</v>
      </c>
      <c r="B76" s="48">
        <v>18</v>
      </c>
      <c r="C76" s="151" t="str">
        <f xml:space="preserve"> IF(B76="","",setValueToTime(B76))</f>
        <v>1h30min</v>
      </c>
      <c r="D76" s="165" t="s">
        <v>179</v>
      </c>
      <c r="E76" s="239"/>
      <c r="F76" s="240"/>
      <c r="G76" s="50"/>
    </row>
    <row r="77" spans="1:7" s="51" customFormat="1" ht="27">
      <c r="A77" s="52" t="s">
        <v>117</v>
      </c>
      <c r="B77" s="53">
        <v>15</v>
      </c>
      <c r="C77" s="152" t="str">
        <f t="shared" ref="C77:C83" si="6" xml:space="preserve"> IF(B77="","",setValueToTime(B77))</f>
        <v>1h15min</v>
      </c>
      <c r="D77" s="166" t="s">
        <v>180</v>
      </c>
      <c r="E77" s="241"/>
      <c r="F77" s="242"/>
      <c r="G77" s="50"/>
    </row>
    <row r="78" spans="1:7" s="51" customFormat="1">
      <c r="A78" s="52" t="s">
        <v>15</v>
      </c>
      <c r="B78" s="53">
        <v>3</v>
      </c>
      <c r="C78" s="152" t="str">
        <f t="shared" si="6"/>
        <v>0h15min</v>
      </c>
      <c r="D78" s="166" t="s">
        <v>151</v>
      </c>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61" t="s">
        <v>27</v>
      </c>
      <c r="B84" s="82">
        <f>SUM(B76:B83)</f>
        <v>36</v>
      </c>
      <c r="C84" s="161" t="str">
        <f xml:space="preserve"> setValueToTime(B84)</f>
        <v>3h</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21</v>
      </c>
      <c r="C86" s="163"/>
      <c r="D86" s="156" t="s">
        <v>14</v>
      </c>
      <c r="E86" s="157">
        <v>44244</v>
      </c>
      <c r="F86" s="158" t="s">
        <v>74</v>
      </c>
      <c r="G86" s="45"/>
    </row>
    <row r="87" spans="1:7" s="46" customFormat="1" ht="30" customHeight="1" thickBot="1">
      <c r="A87" s="77" t="s">
        <v>4</v>
      </c>
      <c r="B87" s="160" t="s">
        <v>38</v>
      </c>
      <c r="C87" s="159"/>
      <c r="D87" s="77" t="s">
        <v>12</v>
      </c>
      <c r="E87" s="247" t="s">
        <v>13</v>
      </c>
      <c r="F87" s="248"/>
      <c r="G87" s="45"/>
    </row>
    <row r="88" spans="1:7" s="51" customFormat="1" ht="67.5">
      <c r="A88" s="47" t="s">
        <v>165</v>
      </c>
      <c r="B88" s="48">
        <v>42</v>
      </c>
      <c r="C88" s="151" t="str">
        <f xml:space="preserve"> IF(B88="","",setValueToTime(B88))</f>
        <v>3h30min</v>
      </c>
      <c r="D88" s="165" t="s">
        <v>172</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27.75" thickBot="1">
      <c r="A96" s="161" t="s">
        <v>27</v>
      </c>
      <c r="B96" s="82">
        <f>SUM(B88:B95)</f>
        <v>45</v>
      </c>
      <c r="C96" s="161" t="str">
        <f xml:space="preserve"> setValueToTime(B96)</f>
        <v>3h45min</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20</v>
      </c>
      <c r="C98" s="163"/>
      <c r="D98" s="156" t="s">
        <v>14</v>
      </c>
      <c r="E98" s="157" t="s">
        <v>153</v>
      </c>
      <c r="F98" s="158" t="s">
        <v>75</v>
      </c>
      <c r="G98" s="45"/>
    </row>
    <row r="99" spans="1:7" s="46" customFormat="1" ht="30" customHeight="1" thickBot="1">
      <c r="A99" s="77" t="s">
        <v>4</v>
      </c>
      <c r="B99" s="160" t="s">
        <v>38</v>
      </c>
      <c r="C99" s="159"/>
      <c r="D99" s="77" t="s">
        <v>12</v>
      </c>
      <c r="E99" s="247" t="s">
        <v>13</v>
      </c>
      <c r="F99" s="248"/>
      <c r="G99" s="45"/>
    </row>
    <row r="100" spans="1:7" s="51" customFormat="1" ht="27">
      <c r="A100" s="47" t="s">
        <v>165</v>
      </c>
      <c r="B100" s="48">
        <v>33</v>
      </c>
      <c r="C100" s="151" t="str">
        <f xml:space="preserve"> IF(B100="","",setValueToTime(B100))</f>
        <v>2h45min</v>
      </c>
      <c r="D100" s="165" t="s">
        <v>168</v>
      </c>
      <c r="E100" s="239"/>
      <c r="F100" s="240"/>
      <c r="G100" s="50"/>
    </row>
    <row r="101" spans="1:7" s="51" customFormat="1">
      <c r="A101" s="52" t="s">
        <v>15</v>
      </c>
      <c r="B101" s="53">
        <v>3</v>
      </c>
      <c r="C101" s="152" t="str">
        <f t="shared" ref="C101:C107" si="8" xml:space="preserve"> IF(B101="","",setValueToTime(B101))</f>
        <v>0h15min</v>
      </c>
      <c r="D101" s="166" t="s">
        <v>106</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19</v>
      </c>
      <c r="C110" s="163"/>
      <c r="D110" s="156" t="s">
        <v>14</v>
      </c>
      <c r="E110" s="157" t="s">
        <v>153</v>
      </c>
      <c r="F110" s="158" t="s">
        <v>74</v>
      </c>
      <c r="G110" s="45"/>
    </row>
    <row r="111" spans="1:7" s="46" customFormat="1" ht="30" customHeight="1" thickBot="1">
      <c r="A111" s="77" t="s">
        <v>4</v>
      </c>
      <c r="B111" s="160" t="s">
        <v>38</v>
      </c>
      <c r="C111" s="159"/>
      <c r="D111" s="77" t="s">
        <v>12</v>
      </c>
      <c r="E111" s="247" t="s">
        <v>13</v>
      </c>
      <c r="F111" s="248"/>
      <c r="G111" s="45"/>
    </row>
    <row r="112" spans="1:7" s="51" customFormat="1">
      <c r="A112" s="47" t="s">
        <v>50</v>
      </c>
      <c r="B112" s="48">
        <v>32</v>
      </c>
      <c r="C112" s="151" t="str">
        <f xml:space="preserve"> IF(B112="","",setValueToTime(B112))</f>
        <v>2h40min</v>
      </c>
      <c r="D112" s="165" t="s">
        <v>167</v>
      </c>
      <c r="E112" s="239"/>
      <c r="F112" s="240"/>
      <c r="G112" s="50"/>
    </row>
    <row r="113" spans="1:7" s="51" customFormat="1">
      <c r="A113" s="52" t="s">
        <v>15</v>
      </c>
      <c r="B113" s="53">
        <v>2</v>
      </c>
      <c r="C113" s="152" t="str">
        <f t="shared" ref="C113:C119" si="9" xml:space="preserve"> IF(B113="","",setValueToTime(B113))</f>
        <v>0h10min</v>
      </c>
      <c r="D113" s="166" t="s">
        <v>106</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27.75" thickBot="1">
      <c r="A120" s="161" t="s">
        <v>27</v>
      </c>
      <c r="B120" s="82">
        <f>SUM(B112:B119)</f>
        <v>34</v>
      </c>
      <c r="C120" s="161" t="str">
        <f xml:space="preserve"> setValueToTime(B120)</f>
        <v>2h50min</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18</v>
      </c>
      <c r="C122" s="163"/>
      <c r="D122" s="156" t="s">
        <v>14</v>
      </c>
      <c r="E122" s="157" t="s">
        <v>156</v>
      </c>
      <c r="F122" s="158" t="s">
        <v>75</v>
      </c>
      <c r="G122" s="45"/>
    </row>
    <row r="123" spans="1:7" s="46" customFormat="1" ht="30" customHeight="1" thickBot="1">
      <c r="A123" s="77" t="s">
        <v>4</v>
      </c>
      <c r="B123" s="160" t="s">
        <v>38</v>
      </c>
      <c r="C123" s="159"/>
      <c r="D123" s="77" t="s">
        <v>12</v>
      </c>
      <c r="E123" s="247" t="s">
        <v>13</v>
      </c>
      <c r="F123" s="248"/>
      <c r="G123" s="45"/>
    </row>
    <row r="124" spans="1:7" s="51" customFormat="1">
      <c r="A124" s="47" t="s">
        <v>50</v>
      </c>
      <c r="B124" s="48">
        <v>33</v>
      </c>
      <c r="C124" s="151" t="str">
        <f xml:space="preserve"> IF(B124="","",setValueToTime(B124))</f>
        <v>2h45min</v>
      </c>
      <c r="D124" s="165" t="s">
        <v>163</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17</v>
      </c>
      <c r="C134" s="163"/>
      <c r="D134" s="156" t="s">
        <v>14</v>
      </c>
      <c r="E134" s="157" t="s">
        <v>156</v>
      </c>
      <c r="F134" s="158" t="s">
        <v>74</v>
      </c>
      <c r="G134" s="45"/>
    </row>
    <row r="135" spans="1:7" s="46" customFormat="1" ht="30" customHeight="1" thickBot="1">
      <c r="A135" s="77" t="s">
        <v>4</v>
      </c>
      <c r="B135" s="160" t="s">
        <v>38</v>
      </c>
      <c r="C135" s="159"/>
      <c r="D135" s="77" t="s">
        <v>12</v>
      </c>
      <c r="E135" s="247" t="s">
        <v>13</v>
      </c>
      <c r="F135" s="248"/>
      <c r="G135" s="45"/>
    </row>
    <row r="136" spans="1:7" s="51" customFormat="1" ht="40.5">
      <c r="A136" s="47" t="s">
        <v>50</v>
      </c>
      <c r="B136" s="48">
        <v>43</v>
      </c>
      <c r="C136" s="151" t="str">
        <f xml:space="preserve"> IF(B136="","",setValueToTime(B136))</f>
        <v>3h35min</v>
      </c>
      <c r="D136" s="165" t="s">
        <v>162</v>
      </c>
      <c r="E136" s="239"/>
      <c r="F136" s="240"/>
      <c r="G136" s="50"/>
    </row>
    <row r="137" spans="1:7" s="51" customFormat="1">
      <c r="A137" s="52" t="s">
        <v>15</v>
      </c>
      <c r="B137" s="53">
        <v>2</v>
      </c>
      <c r="C137" s="152" t="str">
        <f t="shared" ref="C137:C143" si="11" xml:space="preserve"> IF(B137="","",setValueToTime(B137))</f>
        <v>0h10min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27.75" thickBot="1">
      <c r="A144" s="161" t="s">
        <v>27</v>
      </c>
      <c r="B144" s="82">
        <f>SUM(B136:B143)</f>
        <v>45</v>
      </c>
      <c r="C144" s="161" t="str">
        <f xml:space="preserve"> setValueToTime(B144)</f>
        <v>3h45min</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16</v>
      </c>
      <c r="C146" s="163"/>
      <c r="D146" s="156" t="s">
        <v>14</v>
      </c>
      <c r="E146" s="157" t="s">
        <v>146</v>
      </c>
      <c r="F146" s="158" t="s">
        <v>75</v>
      </c>
      <c r="G146" s="45"/>
    </row>
    <row r="147" spans="1:7" s="46" customFormat="1" ht="30" customHeight="1" thickBot="1">
      <c r="A147" s="77" t="s">
        <v>4</v>
      </c>
      <c r="B147" s="160" t="s">
        <v>38</v>
      </c>
      <c r="C147" s="159"/>
      <c r="D147" s="77" t="s">
        <v>12</v>
      </c>
      <c r="E147" s="247" t="s">
        <v>13</v>
      </c>
      <c r="F147" s="248"/>
      <c r="G147" s="45"/>
    </row>
    <row r="148" spans="1:7" s="51" customFormat="1">
      <c r="A148" s="47" t="s">
        <v>50</v>
      </c>
      <c r="B148" s="48">
        <v>33</v>
      </c>
      <c r="C148" s="151" t="str">
        <f xml:space="preserve"> IF(B148="","",setValueToTime(B148))</f>
        <v>2h45min</v>
      </c>
      <c r="D148" s="165" t="s">
        <v>150</v>
      </c>
      <c r="E148" s="239"/>
      <c r="F148" s="240"/>
      <c r="G148" s="50"/>
    </row>
    <row r="149" spans="1:7" s="51" customFormat="1">
      <c r="A149" s="52" t="s">
        <v>15</v>
      </c>
      <c r="B149" s="53">
        <v>3</v>
      </c>
      <c r="C149" s="152" t="str">
        <f t="shared" ref="C149:C155" si="12" xml:space="preserve"> IF(B149="","",setValueToTime(B149))</f>
        <v>0h15min</v>
      </c>
      <c r="D149" s="166" t="s">
        <v>151</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15</v>
      </c>
      <c r="C158" s="163"/>
      <c r="D158" s="156" t="s">
        <v>14</v>
      </c>
      <c r="E158" s="157" t="s">
        <v>146</v>
      </c>
      <c r="F158" s="158" t="s">
        <v>74</v>
      </c>
      <c r="G158" s="45"/>
    </row>
    <row r="159" spans="1:7" s="46" customFormat="1" ht="30" customHeight="1" thickBot="1">
      <c r="A159" s="77" t="s">
        <v>4</v>
      </c>
      <c r="B159" s="160" t="s">
        <v>38</v>
      </c>
      <c r="C159" s="159"/>
      <c r="D159" s="77" t="s">
        <v>12</v>
      </c>
      <c r="E159" s="247" t="s">
        <v>13</v>
      </c>
      <c r="F159" s="248"/>
      <c r="G159" s="45"/>
    </row>
    <row r="160" spans="1:7" s="51" customFormat="1">
      <c r="A160" s="47" t="s">
        <v>51</v>
      </c>
      <c r="B160" s="48">
        <v>6</v>
      </c>
      <c r="C160" s="151" t="str">
        <f xml:space="preserve"> IF(B160="","",setValueToTime(B160))</f>
        <v>0h30min</v>
      </c>
      <c r="D160" s="165" t="s">
        <v>147</v>
      </c>
      <c r="E160" s="239"/>
      <c r="F160" s="240"/>
      <c r="G160" s="50"/>
    </row>
    <row r="161" spans="1:7" s="51" customFormat="1">
      <c r="A161" s="52" t="s">
        <v>56</v>
      </c>
      <c r="B161" s="53">
        <v>6</v>
      </c>
      <c r="C161" s="152" t="str">
        <f t="shared" ref="C161:C167" si="13" xml:space="preserve"> IF(B161="","",setValueToTime(B161))</f>
        <v>0h30min</v>
      </c>
      <c r="D161" s="166" t="s">
        <v>148</v>
      </c>
      <c r="E161" s="241"/>
      <c r="F161" s="242"/>
      <c r="G161" s="50"/>
    </row>
    <row r="162" spans="1:7" s="51" customFormat="1">
      <c r="A162" s="52" t="s">
        <v>66</v>
      </c>
      <c r="B162" s="53">
        <v>24</v>
      </c>
      <c r="C162" s="152" t="str">
        <f t="shared" si="13"/>
        <v>2h</v>
      </c>
      <c r="D162" s="166" t="s">
        <v>149</v>
      </c>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61" t="s">
        <v>27</v>
      </c>
      <c r="B168" s="82">
        <f>SUM(B160:B167)</f>
        <v>36</v>
      </c>
      <c r="C168" s="161" t="str">
        <f xml:space="preserve"> setValueToTime(B168)</f>
        <v>3h</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14</v>
      </c>
      <c r="C170" s="163"/>
      <c r="D170" s="156" t="s">
        <v>14</v>
      </c>
      <c r="E170" s="157">
        <v>44235</v>
      </c>
      <c r="F170" s="158" t="s">
        <v>86</v>
      </c>
      <c r="G170" s="45"/>
    </row>
    <row r="171" spans="1:7" s="46" customFormat="1" ht="30" customHeight="1" thickBot="1">
      <c r="A171" s="77" t="s">
        <v>4</v>
      </c>
      <c r="B171" s="160" t="s">
        <v>38</v>
      </c>
      <c r="C171" s="159"/>
      <c r="D171" s="77" t="s">
        <v>12</v>
      </c>
      <c r="E171" s="247" t="s">
        <v>13</v>
      </c>
      <c r="F171" s="248"/>
      <c r="G171" s="45"/>
    </row>
    <row r="172" spans="1:7" s="51" customFormat="1">
      <c r="A172" s="47" t="s">
        <v>51</v>
      </c>
      <c r="B172" s="48">
        <v>36</v>
      </c>
      <c r="C172" s="151" t="str">
        <f xml:space="preserve"> IF(B172="","",setValueToTime(B172))</f>
        <v>3h</v>
      </c>
      <c r="D172" s="165" t="s">
        <v>141</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13</v>
      </c>
      <c r="C182" s="163"/>
      <c r="D182" s="156" t="s">
        <v>14</v>
      </c>
      <c r="E182" s="157" t="s">
        <v>138</v>
      </c>
      <c r="F182" s="158" t="s">
        <v>75</v>
      </c>
      <c r="G182" s="45"/>
    </row>
    <row r="183" spans="1:7" s="46" customFormat="1" ht="30" customHeight="1" thickBot="1">
      <c r="A183" s="77" t="s">
        <v>4</v>
      </c>
      <c r="B183" s="160" t="s">
        <v>38</v>
      </c>
      <c r="C183" s="159"/>
      <c r="D183" s="77" t="s">
        <v>12</v>
      </c>
      <c r="E183" s="247" t="s">
        <v>13</v>
      </c>
      <c r="F183" s="248"/>
      <c r="G183" s="45"/>
    </row>
    <row r="184" spans="1:7" s="51" customFormat="1" ht="27">
      <c r="A184" s="197" t="s">
        <v>66</v>
      </c>
      <c r="B184" s="48">
        <v>33</v>
      </c>
      <c r="C184" s="151" t="str">
        <f xml:space="preserve"> IF(B184="","",setValueToTime(B184))</f>
        <v>2h45min</v>
      </c>
      <c r="D184" s="165" t="s">
        <v>140</v>
      </c>
      <c r="E184" s="239"/>
      <c r="F184" s="240"/>
      <c r="G184" s="50"/>
    </row>
    <row r="185" spans="1:7" s="51" customFormat="1">
      <c r="A185" s="52" t="s">
        <v>15</v>
      </c>
      <c r="B185" s="53">
        <v>3</v>
      </c>
      <c r="C185" s="152" t="str">
        <f t="shared" ref="C185:C191" si="15" xml:space="preserve"> IF(B185="","",setValueToTime(B185))</f>
        <v>0h15min</v>
      </c>
      <c r="D185" s="166" t="s">
        <v>106</v>
      </c>
      <c r="E185" s="241"/>
      <c r="F185" s="242"/>
      <c r="G185" s="50"/>
    </row>
    <row r="186" spans="1:7" s="51" customFormat="1">
      <c r="A186" s="52"/>
      <c r="B186" s="53"/>
      <c r="C186" s="152" t="str">
        <f t="shared" si="15"/>
        <v/>
      </c>
      <c r="D186" s="54"/>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61" t="s">
        <v>27</v>
      </c>
      <c r="B192" s="82">
        <f>SUM(B184:B191)</f>
        <v>36</v>
      </c>
      <c r="C192" s="161" t="str">
        <f xml:space="preserve"> setValueToTime(B192)</f>
        <v>3h</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12</v>
      </c>
      <c r="C194" s="163"/>
      <c r="D194" s="156" t="s">
        <v>14</v>
      </c>
      <c r="E194" s="157" t="s">
        <v>138</v>
      </c>
      <c r="F194" s="158" t="s">
        <v>74</v>
      </c>
      <c r="G194" s="45"/>
    </row>
    <row r="195" spans="1:7" s="46" customFormat="1" ht="30" customHeight="1" thickBot="1">
      <c r="A195" s="77" t="s">
        <v>4</v>
      </c>
      <c r="B195" s="160" t="s">
        <v>38</v>
      </c>
      <c r="C195" s="159"/>
      <c r="D195" s="77" t="s">
        <v>12</v>
      </c>
      <c r="E195" s="247" t="s">
        <v>13</v>
      </c>
      <c r="F195" s="248"/>
      <c r="G195" s="45"/>
    </row>
    <row r="196" spans="1:7" s="51" customFormat="1" ht="81">
      <c r="A196" s="47" t="s">
        <v>60</v>
      </c>
      <c r="B196" s="48">
        <v>33</v>
      </c>
      <c r="C196" s="151" t="str">
        <f xml:space="preserve"> IF(B196="","",setValueToTime(B196))</f>
        <v>2h45min</v>
      </c>
      <c r="D196" s="165" t="s">
        <v>139</v>
      </c>
      <c r="E196" s="239"/>
      <c r="F196" s="240"/>
      <c r="G196" s="50"/>
    </row>
    <row r="197" spans="1:7" s="51" customFormat="1">
      <c r="A197" s="52" t="s">
        <v>15</v>
      </c>
      <c r="B197" s="53">
        <v>3</v>
      </c>
      <c r="C197" s="152" t="str">
        <f t="shared" ref="C197:C203" si="16" xml:space="preserve"> IF(B197="","",setValueToTime(B197))</f>
        <v>0h15min</v>
      </c>
      <c r="D197" s="166" t="s">
        <v>106</v>
      </c>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11</v>
      </c>
      <c r="C206" s="163"/>
      <c r="D206" s="156" t="s">
        <v>14</v>
      </c>
      <c r="E206" s="157" t="s">
        <v>135</v>
      </c>
      <c r="F206" s="158" t="s">
        <v>75</v>
      </c>
      <c r="G206" s="45"/>
    </row>
    <row r="207" spans="1:7" s="46" customFormat="1" ht="30" customHeight="1" thickBot="1">
      <c r="A207" s="77" t="s">
        <v>4</v>
      </c>
      <c r="B207" s="160" t="s">
        <v>38</v>
      </c>
      <c r="C207" s="159"/>
      <c r="D207" s="77" t="s">
        <v>12</v>
      </c>
      <c r="E207" s="247" t="s">
        <v>13</v>
      </c>
      <c r="F207" s="248"/>
      <c r="G207" s="45"/>
    </row>
    <row r="208" spans="1:7" s="51" customFormat="1" ht="54">
      <c r="A208" s="47" t="s">
        <v>60</v>
      </c>
      <c r="B208" s="48">
        <v>33</v>
      </c>
      <c r="C208" s="151" t="str">
        <f xml:space="preserve"> IF(B208="","",setValueToTime(B208))</f>
        <v>2h45min</v>
      </c>
      <c r="D208" s="165" t="s">
        <v>137</v>
      </c>
      <c r="E208" s="239"/>
      <c r="F208" s="240"/>
      <c r="G208" s="50"/>
    </row>
    <row r="209" spans="1:7" s="51" customFormat="1">
      <c r="A209" s="52" t="s">
        <v>15</v>
      </c>
      <c r="B209" s="53">
        <v>3</v>
      </c>
      <c r="C209" s="152" t="str">
        <f t="shared" ref="C209:C215" si="17" xml:space="preserve"> IF(B209="","",setValueToTime(B209))</f>
        <v>0h15min</v>
      </c>
      <c r="D209" s="166" t="s">
        <v>106</v>
      </c>
      <c r="E209" s="241"/>
      <c r="F209" s="242"/>
      <c r="G209" s="50"/>
    </row>
    <row r="210" spans="1:7" s="51" customFormat="1">
      <c r="A210" s="52"/>
      <c r="B210" s="53"/>
      <c r="C210" s="152" t="str">
        <f t="shared" si="17"/>
        <v/>
      </c>
      <c r="D210" s="54"/>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10</v>
      </c>
      <c r="C218" s="163"/>
      <c r="D218" s="156" t="s">
        <v>14</v>
      </c>
      <c r="E218" s="157" t="s">
        <v>135</v>
      </c>
      <c r="F218" s="158" t="s">
        <v>74</v>
      </c>
      <c r="G218" s="45"/>
    </row>
    <row r="219" spans="1:7" s="46" customFormat="1" ht="30" customHeight="1" thickBot="1">
      <c r="A219" s="77" t="s">
        <v>4</v>
      </c>
      <c r="B219" s="160" t="s">
        <v>38</v>
      </c>
      <c r="C219" s="159"/>
      <c r="D219" s="77" t="s">
        <v>12</v>
      </c>
      <c r="E219" s="247" t="s">
        <v>13</v>
      </c>
      <c r="F219" s="248"/>
      <c r="G219" s="45"/>
    </row>
    <row r="220" spans="1:7" s="51" customFormat="1" ht="40.5">
      <c r="A220" s="47" t="s">
        <v>59</v>
      </c>
      <c r="B220" s="48">
        <v>42</v>
      </c>
      <c r="C220" s="151" t="str">
        <f xml:space="preserve"> IF(B220="","",setValueToTime(B220))</f>
        <v>3h30min</v>
      </c>
      <c r="D220" s="165" t="s">
        <v>136</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27.75" thickBot="1">
      <c r="A228" s="161" t="s">
        <v>27</v>
      </c>
      <c r="B228" s="82">
        <f>SUM(B220:B227)</f>
        <v>45</v>
      </c>
      <c r="C228" s="161" t="str">
        <f xml:space="preserve"> setValueToTime(B228)</f>
        <v>3h45min</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9</v>
      </c>
      <c r="C230" s="163"/>
      <c r="D230" s="156" t="s">
        <v>14</v>
      </c>
      <c r="E230" s="157" t="s">
        <v>126</v>
      </c>
      <c r="F230" s="158" t="s">
        <v>75</v>
      </c>
      <c r="G230" s="45"/>
    </row>
    <row r="231" spans="1:7" s="46" customFormat="1" ht="30" customHeight="1" thickBot="1">
      <c r="A231" s="77" t="s">
        <v>4</v>
      </c>
      <c r="B231" s="160" t="s">
        <v>38</v>
      </c>
      <c r="C231" s="159"/>
      <c r="D231" s="77" t="s">
        <v>12</v>
      </c>
      <c r="E231" s="247" t="s">
        <v>13</v>
      </c>
      <c r="F231" s="248"/>
      <c r="G231" s="45"/>
    </row>
    <row r="232" spans="1:7" s="51" customFormat="1" ht="27">
      <c r="A232" s="47" t="s">
        <v>59</v>
      </c>
      <c r="B232" s="48">
        <v>33</v>
      </c>
      <c r="C232" s="151" t="str">
        <f xml:space="preserve"> IF(B232="","",setValueToTime(B232))</f>
        <v>2h45min</v>
      </c>
      <c r="D232" s="165" t="s">
        <v>134</v>
      </c>
      <c r="E232" s="239"/>
      <c r="F232" s="240"/>
      <c r="G232" s="50"/>
    </row>
    <row r="233" spans="1:7" s="51" customFormat="1">
      <c r="A233" s="52" t="s">
        <v>15</v>
      </c>
      <c r="B233" s="53">
        <v>3</v>
      </c>
      <c r="C233" s="152" t="str">
        <f t="shared" ref="C233:C239" si="19" xml:space="preserve"> IF(B233="","",setValueToTime(B233))</f>
        <v>0h15min</v>
      </c>
      <c r="D233" s="166" t="s">
        <v>106</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8</v>
      </c>
      <c r="C242" s="163"/>
      <c r="D242" s="156" t="s">
        <v>14</v>
      </c>
      <c r="E242" s="157" t="s">
        <v>126</v>
      </c>
      <c r="F242" s="158" t="s">
        <v>74</v>
      </c>
      <c r="G242" s="45"/>
    </row>
    <row r="243" spans="1:7" s="46" customFormat="1" ht="30" customHeight="1" thickBot="1">
      <c r="A243" s="77" t="s">
        <v>4</v>
      </c>
      <c r="B243" s="160" t="s">
        <v>38</v>
      </c>
      <c r="C243" s="159"/>
      <c r="D243" s="77" t="s">
        <v>12</v>
      </c>
      <c r="E243" s="247" t="s">
        <v>13</v>
      </c>
      <c r="F243" s="248"/>
      <c r="G243" s="45"/>
    </row>
    <row r="244" spans="1:7" s="51" customFormat="1" ht="27">
      <c r="A244" s="47" t="s">
        <v>118</v>
      </c>
      <c r="B244" s="48">
        <v>12</v>
      </c>
      <c r="C244" s="151" t="str">
        <f xml:space="preserve"> IF(B244="","",setValueToTime(B244))</f>
        <v>1h</v>
      </c>
      <c r="D244" s="165" t="s">
        <v>131</v>
      </c>
      <c r="E244" s="239"/>
      <c r="F244" s="240"/>
      <c r="G244" s="50"/>
    </row>
    <row r="245" spans="1:7" s="51" customFormat="1" ht="27">
      <c r="A245" s="52" t="s">
        <v>66</v>
      </c>
      <c r="B245" s="53">
        <v>12</v>
      </c>
      <c r="C245" s="152" t="str">
        <f t="shared" ref="C245:C251" si="20" xml:space="preserve"> IF(B245="","",setValueToTime(B245))</f>
        <v>1h</v>
      </c>
      <c r="D245" s="166" t="s">
        <v>132</v>
      </c>
      <c r="E245" s="241"/>
      <c r="F245" s="242"/>
      <c r="G245" s="50"/>
    </row>
    <row r="246" spans="1:7" s="51" customFormat="1">
      <c r="A246" s="52" t="s">
        <v>59</v>
      </c>
      <c r="B246" s="53">
        <v>21</v>
      </c>
      <c r="C246" s="152" t="str">
        <f t="shared" si="20"/>
        <v>1h45min</v>
      </c>
      <c r="D246" s="166" t="s">
        <v>133</v>
      </c>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27.75" thickBot="1">
      <c r="A252" s="161" t="s">
        <v>27</v>
      </c>
      <c r="B252" s="82">
        <f>SUM(B244:B251)</f>
        <v>45</v>
      </c>
      <c r="C252" s="161" t="str">
        <f xml:space="preserve"> setValueToTime(B252)</f>
        <v>3h45min</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7</v>
      </c>
      <c r="C254" s="163"/>
      <c r="D254" s="156" t="s">
        <v>14</v>
      </c>
      <c r="E254" s="157" t="s">
        <v>125</v>
      </c>
      <c r="F254" s="158" t="s">
        <v>74</v>
      </c>
      <c r="G254" s="45"/>
    </row>
    <row r="255" spans="1:7" s="46" customFormat="1" ht="30" customHeight="1" thickBot="1">
      <c r="A255" s="77" t="s">
        <v>4</v>
      </c>
      <c r="B255" s="160" t="s">
        <v>38</v>
      </c>
      <c r="C255" s="159"/>
      <c r="D255" s="77" t="s">
        <v>12</v>
      </c>
      <c r="E255" s="247" t="s">
        <v>13</v>
      </c>
      <c r="F255" s="248"/>
      <c r="G255" s="45"/>
    </row>
    <row r="256" spans="1:7" s="51" customFormat="1">
      <c r="A256" s="47" t="s">
        <v>51</v>
      </c>
      <c r="B256" s="48">
        <v>6</v>
      </c>
      <c r="C256" s="151" t="str">
        <f xml:space="preserve"> IF(B256="","",setValueToTime(B256))</f>
        <v>0h30min</v>
      </c>
      <c r="D256" s="165" t="s">
        <v>127</v>
      </c>
      <c r="E256" s="239"/>
      <c r="F256" s="240"/>
      <c r="G256" s="50"/>
    </row>
    <row r="257" spans="1:7" s="51" customFormat="1" ht="27">
      <c r="A257" s="52" t="s">
        <v>65</v>
      </c>
      <c r="B257" s="53">
        <v>12</v>
      </c>
      <c r="C257" s="152" t="str">
        <f t="shared" ref="C257:C263" si="21" xml:space="preserve"> IF(B257="","",setValueToTime(B257))</f>
        <v>1h</v>
      </c>
      <c r="D257" s="166" t="s">
        <v>128</v>
      </c>
      <c r="E257" s="241"/>
      <c r="F257" s="242"/>
      <c r="G257" s="50"/>
    </row>
    <row r="258" spans="1:7" s="51" customFormat="1">
      <c r="A258" s="52" t="s">
        <v>56</v>
      </c>
      <c r="B258" s="53">
        <v>6</v>
      </c>
      <c r="C258" s="152" t="str">
        <f t="shared" si="21"/>
        <v>0h30min</v>
      </c>
      <c r="D258" s="166" t="s">
        <v>129</v>
      </c>
      <c r="E258" s="241"/>
      <c r="F258" s="242"/>
      <c r="G258" s="50"/>
    </row>
    <row r="259" spans="1:7" s="51" customFormat="1" ht="27">
      <c r="A259" s="52" t="s">
        <v>58</v>
      </c>
      <c r="B259" s="53">
        <v>12</v>
      </c>
      <c r="C259" s="152" t="str">
        <f t="shared" si="21"/>
        <v>1h</v>
      </c>
      <c r="D259" s="166" t="s">
        <v>130</v>
      </c>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6</v>
      </c>
      <c r="C266" s="163"/>
      <c r="D266" s="156" t="s">
        <v>14</v>
      </c>
      <c r="E266" s="157" t="s">
        <v>104</v>
      </c>
      <c r="F266" s="158" t="s">
        <v>91</v>
      </c>
      <c r="G266" s="45"/>
    </row>
    <row r="267" spans="1:7" s="46" customFormat="1" ht="30" customHeight="1" thickBot="1">
      <c r="A267" s="77" t="s">
        <v>4</v>
      </c>
      <c r="B267" s="160" t="s">
        <v>38</v>
      </c>
      <c r="C267" s="159"/>
      <c r="D267" s="77" t="s">
        <v>12</v>
      </c>
      <c r="E267" s="247" t="s">
        <v>13</v>
      </c>
      <c r="F267" s="248"/>
      <c r="G267" s="45"/>
    </row>
    <row r="268" spans="1:7" s="51" customFormat="1" ht="81">
      <c r="A268" s="47" t="s">
        <v>57</v>
      </c>
      <c r="B268" s="48">
        <v>24</v>
      </c>
      <c r="C268" s="151" t="str">
        <f xml:space="preserve"> IF(B268="","",setValueToTime(B268))</f>
        <v>2h</v>
      </c>
      <c r="D268" s="165" t="s">
        <v>107</v>
      </c>
      <c r="E268" s="239"/>
      <c r="F268" s="240"/>
      <c r="G268" s="50"/>
    </row>
    <row r="269" spans="1:7" s="51" customFormat="1" ht="27">
      <c r="A269" s="52" t="s">
        <v>66</v>
      </c>
      <c r="B269" s="53">
        <v>9</v>
      </c>
      <c r="C269" s="152" t="str">
        <f t="shared" ref="C269:C275" si="22" xml:space="preserve"> IF(B269="","",setValueToTime(B269))</f>
        <v>0h45min</v>
      </c>
      <c r="D269" s="166" t="s">
        <v>108</v>
      </c>
      <c r="E269" s="241"/>
      <c r="F269" s="242"/>
      <c r="G269" s="50"/>
    </row>
    <row r="270" spans="1:7" s="51" customFormat="1">
      <c r="A270" s="52" t="s">
        <v>15</v>
      </c>
      <c r="B270" s="53">
        <v>3</v>
      </c>
      <c r="C270" s="152" t="str">
        <f t="shared" si="22"/>
        <v>0h15min</v>
      </c>
      <c r="D270" s="166" t="s">
        <v>106</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61" t="s">
        <v>27</v>
      </c>
      <c r="B276" s="82">
        <f>SUM(B268:B275)</f>
        <v>36</v>
      </c>
      <c r="C276" s="161" t="str">
        <f xml:space="preserve"> setValueToTime(B276)</f>
        <v>3h</v>
      </c>
      <c r="D276" s="120"/>
      <c r="E276" s="245"/>
      <c r="F276" s="246"/>
      <c r="G276" s="50"/>
    </row>
    <row r="277" spans="1:7" s="58" customFormat="1" ht="15" thickBot="1">
      <c r="A277" s="76"/>
      <c r="B277" s="76"/>
      <c r="C277" s="76"/>
      <c r="D277" s="76"/>
      <c r="E277" s="76"/>
      <c r="F277" s="76"/>
      <c r="G277" s="57"/>
    </row>
    <row r="278" spans="1:7" s="46" customFormat="1" ht="30" customHeight="1" thickBot="1">
      <c r="A278" s="155" t="s">
        <v>11</v>
      </c>
      <c r="B278" s="163">
        <v>5</v>
      </c>
      <c r="C278" s="163"/>
      <c r="D278" s="156" t="s">
        <v>14</v>
      </c>
      <c r="E278" s="157" t="s">
        <v>104</v>
      </c>
      <c r="F278" s="158" t="s">
        <v>86</v>
      </c>
      <c r="G278" s="45"/>
    </row>
    <row r="279" spans="1:7" s="46" customFormat="1" ht="30" customHeight="1" thickBot="1">
      <c r="A279" s="77" t="s">
        <v>4</v>
      </c>
      <c r="B279" s="160" t="s">
        <v>38</v>
      </c>
      <c r="C279" s="159"/>
      <c r="D279" s="77" t="s">
        <v>12</v>
      </c>
      <c r="E279" s="247" t="s">
        <v>13</v>
      </c>
      <c r="F279" s="248"/>
      <c r="G279" s="45"/>
    </row>
    <row r="280" spans="1:7" s="51" customFormat="1" ht="148.5">
      <c r="A280" s="47" t="s">
        <v>58</v>
      </c>
      <c r="B280" s="48">
        <v>33</v>
      </c>
      <c r="C280" s="151" t="str">
        <f xml:space="preserve"> IF(B280="","",setValueToTime(B280))</f>
        <v>2h45min</v>
      </c>
      <c r="D280" s="165" t="s">
        <v>105</v>
      </c>
      <c r="E280" s="239"/>
      <c r="F280" s="240"/>
      <c r="G280" s="50"/>
    </row>
    <row r="281" spans="1:7" s="51" customFormat="1">
      <c r="A281" s="52" t="s">
        <v>15</v>
      </c>
      <c r="B281" s="53">
        <v>3</v>
      </c>
      <c r="C281" s="152" t="str">
        <f t="shared" ref="C281:C287" si="23" xml:space="preserve"> IF(B281="","",setValueToTime(B281))</f>
        <v>0h15min</v>
      </c>
      <c r="D281" s="166" t="s">
        <v>106</v>
      </c>
      <c r="E281" s="241"/>
      <c r="F281" s="242"/>
      <c r="G281" s="50"/>
    </row>
    <row r="282" spans="1:7" s="51" customFormat="1">
      <c r="A282" s="52"/>
      <c r="B282" s="53"/>
      <c r="C282" s="152" t="str">
        <f t="shared" si="23"/>
        <v/>
      </c>
      <c r="D282" s="54"/>
      <c r="E282" s="241"/>
      <c r="F282" s="242"/>
      <c r="G282" s="50"/>
    </row>
    <row r="283" spans="1:7" s="51" customFormat="1">
      <c r="A283" s="52"/>
      <c r="B283" s="53"/>
      <c r="C283" s="152" t="str">
        <f t="shared" si="23"/>
        <v/>
      </c>
      <c r="D283" s="54"/>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61" t="s">
        <v>27</v>
      </c>
      <c r="B288" s="82">
        <f>SUM(B280:B287)</f>
        <v>36</v>
      </c>
      <c r="C288" s="161" t="str">
        <f xml:space="preserve"> setValueToTime(B288)</f>
        <v>3h</v>
      </c>
      <c r="D288" s="120"/>
      <c r="E288" s="245"/>
      <c r="F288" s="246"/>
      <c r="G288" s="50"/>
    </row>
    <row r="289" spans="1:7" s="58" customFormat="1" ht="15" thickBot="1">
      <c r="A289" s="76"/>
      <c r="B289" s="76"/>
      <c r="C289" s="76"/>
      <c r="D289" s="76"/>
      <c r="E289" s="76"/>
      <c r="F289" s="76"/>
      <c r="G289" s="57"/>
    </row>
    <row r="290" spans="1:7" s="46" customFormat="1" ht="30" customHeight="1" thickBot="1">
      <c r="A290" s="155" t="s">
        <v>11</v>
      </c>
      <c r="B290" s="163">
        <v>4</v>
      </c>
      <c r="C290" s="163"/>
      <c r="D290" s="156" t="s">
        <v>14</v>
      </c>
      <c r="E290" s="157" t="s">
        <v>97</v>
      </c>
      <c r="F290" s="158" t="s">
        <v>91</v>
      </c>
      <c r="G290" s="45"/>
    </row>
    <row r="291" spans="1:7" s="46" customFormat="1" ht="30" customHeight="1" thickBot="1">
      <c r="A291" s="77" t="s">
        <v>4</v>
      </c>
      <c r="B291" s="160" t="s">
        <v>38</v>
      </c>
      <c r="C291" s="159"/>
      <c r="D291" s="77" t="s">
        <v>12</v>
      </c>
      <c r="E291" s="247" t="s">
        <v>13</v>
      </c>
      <c r="F291" s="248"/>
      <c r="G291" s="45"/>
    </row>
    <row r="292" spans="1:7" s="51" customFormat="1" ht="81">
      <c r="A292" s="47" t="s">
        <v>58</v>
      </c>
      <c r="B292" s="48">
        <v>33</v>
      </c>
      <c r="C292" s="151" t="str">
        <f xml:space="preserve"> IF(B292="","",setValueToTime(B292))</f>
        <v>2h45min</v>
      </c>
      <c r="D292" s="165" t="s">
        <v>102</v>
      </c>
      <c r="E292" s="239"/>
      <c r="F292" s="240"/>
      <c r="G292" s="50"/>
    </row>
    <row r="293" spans="1:7" s="51" customFormat="1">
      <c r="A293" s="52" t="s">
        <v>15</v>
      </c>
      <c r="B293" s="53">
        <v>3</v>
      </c>
      <c r="C293" s="152" t="str">
        <f t="shared" ref="C293:C299" si="24" xml:space="preserve"> IF(B293="","",setValueToTime(B293))</f>
        <v>0h15min</v>
      </c>
      <c r="D293" s="166" t="s">
        <v>103</v>
      </c>
      <c r="E293" s="241"/>
      <c r="F293" s="242"/>
      <c r="G293" s="50"/>
    </row>
    <row r="294" spans="1:7" s="51" customFormat="1">
      <c r="A294" s="52"/>
      <c r="B294" s="53"/>
      <c r="C294" s="152" t="str">
        <f t="shared" si="24"/>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61" t="s">
        <v>27</v>
      </c>
      <c r="B300" s="82">
        <f>SUM(B292:B299)</f>
        <v>36</v>
      </c>
      <c r="C300" s="161" t="str">
        <f xml:space="preserve"> setValueToTime(B300)</f>
        <v>3h</v>
      </c>
      <c r="D300" s="120"/>
      <c r="E300" s="245"/>
      <c r="F300" s="246"/>
      <c r="G300" s="50"/>
    </row>
    <row r="301" spans="1:7" s="58" customFormat="1" ht="15" thickBot="1">
      <c r="A301" s="76"/>
      <c r="B301" s="76"/>
      <c r="C301" s="76"/>
      <c r="D301" s="76"/>
      <c r="E301" s="76"/>
      <c r="F301" s="76"/>
      <c r="G301" s="57"/>
    </row>
    <row r="302" spans="1:7" s="46" customFormat="1" ht="30" customHeight="1" thickBot="1">
      <c r="A302" s="155" t="s">
        <v>11</v>
      </c>
      <c r="B302" s="163">
        <v>3</v>
      </c>
      <c r="C302" s="163"/>
      <c r="D302" s="156" t="s">
        <v>14</v>
      </c>
      <c r="E302" s="157" t="s">
        <v>97</v>
      </c>
      <c r="F302" s="158" t="s">
        <v>86</v>
      </c>
      <c r="G302" s="45"/>
    </row>
    <row r="303" spans="1:7" s="46" customFormat="1" ht="30" customHeight="1" thickBot="1">
      <c r="A303" s="77" t="s">
        <v>4</v>
      </c>
      <c r="B303" s="160" t="s">
        <v>38</v>
      </c>
      <c r="C303" s="159"/>
      <c r="D303" s="77" t="s">
        <v>12</v>
      </c>
      <c r="E303" s="247" t="s">
        <v>13</v>
      </c>
      <c r="F303" s="248"/>
      <c r="G303" s="45"/>
    </row>
    <row r="304" spans="1:7" s="51" customFormat="1">
      <c r="A304" s="47" t="s">
        <v>56</v>
      </c>
      <c r="B304" s="48">
        <v>3</v>
      </c>
      <c r="C304" s="151" t="str">
        <f xml:space="preserve"> IF(B304="","",setValueToTime(B304))</f>
        <v>0h15min</v>
      </c>
      <c r="D304" s="165" t="s">
        <v>98</v>
      </c>
      <c r="E304" s="239"/>
      <c r="F304" s="240"/>
      <c r="G304" s="50"/>
    </row>
    <row r="305" spans="1:7" s="51" customFormat="1">
      <c r="A305" s="52" t="s">
        <v>50</v>
      </c>
      <c r="B305" s="53">
        <v>15</v>
      </c>
      <c r="C305" s="152" t="str">
        <f t="shared" ref="C305:C311" si="25" xml:space="preserve"> IF(B305="","",setValueToTime(B305))</f>
        <v>1h15min</v>
      </c>
      <c r="D305" s="166" t="s">
        <v>99</v>
      </c>
      <c r="E305" s="241"/>
      <c r="F305" s="242"/>
      <c r="G305" s="50"/>
    </row>
    <row r="306" spans="1:7" s="51" customFormat="1" ht="27">
      <c r="A306" s="52" t="s">
        <v>52</v>
      </c>
      <c r="B306" s="53">
        <v>6</v>
      </c>
      <c r="C306" s="152" t="str">
        <f t="shared" si="25"/>
        <v>0h30min</v>
      </c>
      <c r="D306" s="166" t="s">
        <v>100</v>
      </c>
      <c r="E306" s="241"/>
      <c r="F306" s="242"/>
      <c r="G306" s="50"/>
    </row>
    <row r="307" spans="1:7" s="51" customFormat="1" ht="67.5">
      <c r="A307" s="52" t="s">
        <v>58</v>
      </c>
      <c r="B307" s="53">
        <v>12</v>
      </c>
      <c r="C307" s="152" t="str">
        <f t="shared" si="25"/>
        <v>1h</v>
      </c>
      <c r="D307" s="166" t="s">
        <v>101</v>
      </c>
      <c r="E307" s="241"/>
      <c r="F307" s="242"/>
      <c r="G307" s="50"/>
    </row>
    <row r="308" spans="1:7" s="51" customFormat="1">
      <c r="A308" s="53"/>
      <c r="B308" s="53"/>
      <c r="C308" s="153" t="str">
        <f t="shared" si="25"/>
        <v/>
      </c>
      <c r="D308" s="54"/>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61" t="s">
        <v>27</v>
      </c>
      <c r="B312" s="82">
        <f>SUM(B304:B311)</f>
        <v>36</v>
      </c>
      <c r="C312" s="161" t="str">
        <f xml:space="preserve"> setValueToTime(B312)</f>
        <v>3h</v>
      </c>
      <c r="D312" s="120"/>
      <c r="E312" s="245"/>
      <c r="F312" s="246"/>
      <c r="G312" s="50"/>
    </row>
    <row r="313" spans="1:7" s="58" customFormat="1" ht="15" thickBot="1">
      <c r="A313" s="76"/>
      <c r="B313" s="76"/>
      <c r="C313" s="76"/>
      <c r="D313" s="76"/>
      <c r="E313" s="76"/>
      <c r="F313" s="76"/>
      <c r="G313" s="57"/>
    </row>
    <row r="314" spans="1:7" s="46" customFormat="1" ht="30" customHeight="1" thickBot="1">
      <c r="A314" s="155" t="s">
        <v>11</v>
      </c>
      <c r="B314" s="163">
        <v>2</v>
      </c>
      <c r="C314" s="163"/>
      <c r="D314" s="156" t="s">
        <v>14</v>
      </c>
      <c r="E314" s="157" t="s">
        <v>71</v>
      </c>
      <c r="F314" s="158" t="s">
        <v>75</v>
      </c>
      <c r="G314" s="45"/>
    </row>
    <row r="315" spans="1:7" s="46" customFormat="1" ht="30" customHeight="1" thickBot="1">
      <c r="A315" s="77" t="s">
        <v>4</v>
      </c>
      <c r="B315" s="160" t="s">
        <v>38</v>
      </c>
      <c r="C315" s="159"/>
      <c r="D315" s="77" t="s">
        <v>12</v>
      </c>
      <c r="E315" s="247" t="s">
        <v>13</v>
      </c>
      <c r="F315" s="248"/>
      <c r="G315" s="45"/>
    </row>
    <row r="316" spans="1:7" s="51" customFormat="1" ht="67.5">
      <c r="A316" s="47" t="s">
        <v>58</v>
      </c>
      <c r="B316" s="48">
        <v>33</v>
      </c>
      <c r="C316" s="151" t="str">
        <f xml:space="preserve"> IF(B316="","",setValueToTime(B316))</f>
        <v>2h45min</v>
      </c>
      <c r="D316" s="165" t="s">
        <v>84</v>
      </c>
      <c r="E316" s="239"/>
      <c r="F316" s="240"/>
      <c r="G316" s="50"/>
    </row>
    <row r="317" spans="1:7" s="51" customFormat="1">
      <c r="A317" s="52" t="s">
        <v>15</v>
      </c>
      <c r="B317" s="53">
        <v>3</v>
      </c>
      <c r="C317" s="152" t="str">
        <f t="shared" ref="C317:C323" si="26" xml:space="preserve"> IF(B317="","",setValueToTime(B317))</f>
        <v>0h15min</v>
      </c>
      <c r="D317" s="166" t="s">
        <v>85</v>
      </c>
      <c r="E317" s="241"/>
      <c r="F317" s="242"/>
      <c r="G317" s="50"/>
    </row>
    <row r="318" spans="1:7" s="51" customFormat="1">
      <c r="A318" s="52"/>
      <c r="B318" s="53"/>
      <c r="C318" s="152" t="str">
        <f t="shared" si="26"/>
        <v/>
      </c>
      <c r="D318" s="54"/>
      <c r="E318" s="241"/>
      <c r="F318" s="242"/>
      <c r="G318" s="50"/>
    </row>
    <row r="319" spans="1:7" s="51" customFormat="1">
      <c r="A319" s="52"/>
      <c r="B319" s="53"/>
      <c r="C319" s="152" t="str">
        <f t="shared" si="26"/>
        <v/>
      </c>
      <c r="D319" s="54"/>
      <c r="E319" s="241"/>
      <c r="F319" s="242"/>
      <c r="G319" s="50"/>
    </row>
    <row r="320" spans="1:7" s="51" customFormat="1">
      <c r="A320" s="53"/>
      <c r="B320" s="53"/>
      <c r="C320" s="153" t="str">
        <f t="shared" si="26"/>
        <v/>
      </c>
      <c r="D320" s="54"/>
      <c r="E320" s="241"/>
      <c r="F320" s="242"/>
      <c r="G320" s="50"/>
    </row>
    <row r="321" spans="1:7" s="51" customFormat="1">
      <c r="A321" s="53"/>
      <c r="B321" s="53"/>
      <c r="C321" s="153" t="str">
        <f t="shared" si="26"/>
        <v/>
      </c>
      <c r="D321" s="54"/>
      <c r="E321" s="241"/>
      <c r="F321" s="242"/>
      <c r="G321" s="50"/>
    </row>
    <row r="322" spans="1:7" s="51" customFormat="1">
      <c r="A322" s="53"/>
      <c r="B322" s="53"/>
      <c r="C322" s="153" t="str">
        <f t="shared" si="26"/>
        <v/>
      </c>
      <c r="D322" s="54"/>
      <c r="E322" s="241"/>
      <c r="F322" s="242"/>
      <c r="G322" s="50"/>
    </row>
    <row r="323" spans="1:7" s="51" customFormat="1" ht="15" thickBot="1">
      <c r="A323" s="55"/>
      <c r="B323" s="55"/>
      <c r="C323" s="154" t="str">
        <f t="shared" si="26"/>
        <v/>
      </c>
      <c r="D323" s="56"/>
      <c r="E323" s="243"/>
      <c r="F323" s="244"/>
      <c r="G323" s="50"/>
    </row>
    <row r="324" spans="1:7" s="51" customFormat="1" ht="15" thickBot="1">
      <c r="A324" s="161" t="s">
        <v>27</v>
      </c>
      <c r="B324" s="82">
        <f>SUM(B316:B323)</f>
        <v>36</v>
      </c>
      <c r="C324" s="161" t="str">
        <f xml:space="preserve"> setValueToTime(B324)</f>
        <v>3h</v>
      </c>
      <c r="D324" s="120"/>
      <c r="E324" s="245"/>
      <c r="F324" s="246"/>
      <c r="G324" s="50"/>
    </row>
    <row r="325" spans="1:7" s="58" customFormat="1" ht="15" thickBot="1">
      <c r="A325" s="76"/>
      <c r="B325" s="76"/>
      <c r="C325" s="76"/>
      <c r="D325" s="76"/>
      <c r="E325" s="76"/>
      <c r="F325" s="76"/>
      <c r="G325" s="57"/>
    </row>
    <row r="326" spans="1:7" s="46" customFormat="1" ht="30" customHeight="1" thickBot="1">
      <c r="A326" s="155" t="s">
        <v>11</v>
      </c>
      <c r="B326" s="163">
        <v>1</v>
      </c>
      <c r="C326" s="163"/>
      <c r="D326" s="156" t="s">
        <v>14</v>
      </c>
      <c r="E326" s="157" t="s">
        <v>71</v>
      </c>
      <c r="F326" s="158" t="s">
        <v>74</v>
      </c>
      <c r="G326" s="45"/>
    </row>
    <row r="327" spans="1:7" s="46" customFormat="1" ht="30" customHeight="1" thickBot="1">
      <c r="A327" s="77" t="s">
        <v>4</v>
      </c>
      <c r="B327" s="160" t="s">
        <v>38</v>
      </c>
      <c r="C327" s="159"/>
      <c r="D327" s="77" t="s">
        <v>12</v>
      </c>
      <c r="E327" s="247" t="s">
        <v>13</v>
      </c>
      <c r="F327" s="248"/>
      <c r="G327" s="45"/>
    </row>
    <row r="328" spans="1:7" s="51" customFormat="1">
      <c r="A328" s="47" t="s">
        <v>51</v>
      </c>
      <c r="B328" s="48">
        <v>12</v>
      </c>
      <c r="C328" s="151" t="str">
        <f xml:space="preserve"> IF(B328="","",setValueToTime(B328))</f>
        <v>1h</v>
      </c>
      <c r="D328" s="165" t="s">
        <v>79</v>
      </c>
      <c r="E328" s="239"/>
      <c r="F328" s="240"/>
      <c r="G328" s="50"/>
    </row>
    <row r="329" spans="1:7" s="51" customFormat="1">
      <c r="A329" s="52" t="s">
        <v>56</v>
      </c>
      <c r="B329" s="53">
        <v>9</v>
      </c>
      <c r="C329" s="152" t="str">
        <f t="shared" ref="C329:C335" si="27" xml:space="preserve"> IF(B329="","",setValueToTime(B329))</f>
        <v>0h45min</v>
      </c>
      <c r="D329" s="166" t="s">
        <v>69</v>
      </c>
      <c r="E329" s="241"/>
      <c r="F329" s="242"/>
      <c r="G329" s="50"/>
    </row>
    <row r="330" spans="1:7" s="51" customFormat="1" ht="27">
      <c r="A330" s="52" t="s">
        <v>64</v>
      </c>
      <c r="B330" s="53">
        <v>9</v>
      </c>
      <c r="C330" s="152" t="str">
        <f t="shared" si="27"/>
        <v>0h45min</v>
      </c>
      <c r="D330" s="166" t="s">
        <v>81</v>
      </c>
      <c r="E330" s="249" t="s">
        <v>80</v>
      </c>
      <c r="F330" s="242"/>
      <c r="G330" s="50"/>
    </row>
    <row r="331" spans="1:7" s="51" customFormat="1" ht="27">
      <c r="A331" s="52" t="s">
        <v>65</v>
      </c>
      <c r="B331" s="53">
        <v>3</v>
      </c>
      <c r="C331" s="152" t="str">
        <f t="shared" si="27"/>
        <v>0h15min</v>
      </c>
      <c r="D331" s="166" t="s">
        <v>82</v>
      </c>
      <c r="E331" s="241"/>
      <c r="F331" s="242"/>
      <c r="G331" s="50"/>
    </row>
    <row r="332" spans="1:7" s="51" customFormat="1" ht="40.5">
      <c r="A332" s="53" t="s">
        <v>58</v>
      </c>
      <c r="B332" s="53">
        <v>18</v>
      </c>
      <c r="C332" s="153" t="str">
        <f t="shared" si="27"/>
        <v>1h30min</v>
      </c>
      <c r="D332" s="166" t="s">
        <v>83</v>
      </c>
      <c r="E332" s="241"/>
      <c r="F332" s="242"/>
      <c r="G332" s="50"/>
    </row>
    <row r="333" spans="1:7" s="51" customFormat="1">
      <c r="A333" s="53"/>
      <c r="B333" s="53"/>
      <c r="C333" s="153" t="str">
        <f t="shared" si="27"/>
        <v/>
      </c>
      <c r="D333" s="54"/>
      <c r="E333" s="241"/>
      <c r="F333" s="242"/>
      <c r="G333" s="50"/>
    </row>
    <row r="334" spans="1:7" s="51" customFormat="1">
      <c r="A334" s="53"/>
      <c r="B334" s="53"/>
      <c r="C334" s="153" t="str">
        <f t="shared" si="27"/>
        <v/>
      </c>
      <c r="D334" s="54"/>
      <c r="E334" s="241"/>
      <c r="F334" s="242"/>
      <c r="G334" s="50"/>
    </row>
    <row r="335" spans="1:7" s="51" customFormat="1" ht="15" thickBot="1">
      <c r="A335" s="55"/>
      <c r="B335" s="55"/>
      <c r="C335" s="154" t="str">
        <f t="shared" si="27"/>
        <v/>
      </c>
      <c r="D335" s="56"/>
      <c r="E335" s="243"/>
      <c r="F335" s="244"/>
      <c r="G335" s="50"/>
    </row>
    <row r="336" spans="1:7" s="51" customFormat="1" ht="27.75" thickBot="1">
      <c r="A336" s="161" t="s">
        <v>27</v>
      </c>
      <c r="B336" s="82">
        <f>SUM(B328:B335)</f>
        <v>51</v>
      </c>
      <c r="C336" s="161" t="str">
        <f xml:space="preserve"> setValueToTime(B336)</f>
        <v>4h15min</v>
      </c>
      <c r="D336" s="120"/>
      <c r="E336" s="245"/>
      <c r="F336" s="246"/>
      <c r="G336" s="50"/>
    </row>
    <row r="337" spans="1:7" s="58" customFormat="1">
      <c r="A337" s="76"/>
      <c r="B337" s="76"/>
      <c r="C337" s="76"/>
      <c r="D337" s="76"/>
      <c r="E337" s="76"/>
      <c r="F337" s="76"/>
      <c r="G337" s="57"/>
    </row>
  </sheetData>
  <sheetProtection formatRows="0" insertRows="0" insertHyperlinks="0" deleteRows="0" selectLockedCells="1"/>
  <mergeCells count="280">
    <mergeCell ref="E12:F12"/>
    <mergeCell ref="E3:F3"/>
    <mergeCell ref="E4:F4"/>
    <mergeCell ref="E5:F5"/>
    <mergeCell ref="E6:F6"/>
    <mergeCell ref="E7:F7"/>
    <mergeCell ref="E8:F8"/>
    <mergeCell ref="E9:F9"/>
    <mergeCell ref="E10:F10"/>
    <mergeCell ref="E11:F1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28:F228"/>
    <mergeCell ref="E195:F195"/>
    <mergeCell ref="E196:F196"/>
    <mergeCell ref="E197:F197"/>
    <mergeCell ref="E198:F198"/>
    <mergeCell ref="E199:F199"/>
    <mergeCell ref="E200:F200"/>
    <mergeCell ref="E201:F201"/>
    <mergeCell ref="E202:F202"/>
    <mergeCell ref="E203:F203"/>
    <mergeCell ref="E204:F204"/>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67:F267"/>
    <mergeCell ref="E268:F268"/>
    <mergeCell ref="E269:F269"/>
    <mergeCell ref="E270:F270"/>
    <mergeCell ref="E271:F271"/>
    <mergeCell ref="E272:F272"/>
    <mergeCell ref="E273:F273"/>
    <mergeCell ref="E274:F274"/>
    <mergeCell ref="E275:F275"/>
    <mergeCell ref="E256:F256"/>
    <mergeCell ref="E257:F257"/>
    <mergeCell ref="E258:F258"/>
    <mergeCell ref="E259:F259"/>
    <mergeCell ref="E260:F260"/>
    <mergeCell ref="E261:F261"/>
    <mergeCell ref="E262:F262"/>
    <mergeCell ref="E263:F263"/>
    <mergeCell ref="E264:F264"/>
    <mergeCell ref="E304:F304"/>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4:F324"/>
    <mergeCell ref="E333:F333"/>
    <mergeCell ref="E335:F335"/>
    <mergeCell ref="E321:F321"/>
    <mergeCell ref="E322:F322"/>
    <mergeCell ref="E323:F323"/>
    <mergeCell ref="E308:F308"/>
    <mergeCell ref="E309:F309"/>
    <mergeCell ref="E310:F310"/>
    <mergeCell ref="E311:F311"/>
    <mergeCell ref="E312:F312"/>
    <mergeCell ref="E334:F334"/>
    <mergeCell ref="E305:F305"/>
    <mergeCell ref="E306:F306"/>
    <mergeCell ref="E307:F307"/>
    <mergeCell ref="E207:F207"/>
    <mergeCell ref="E208:F208"/>
    <mergeCell ref="E209:F209"/>
    <mergeCell ref="E210:F210"/>
    <mergeCell ref="E211:F211"/>
    <mergeCell ref="E212:F212"/>
    <mergeCell ref="E213:F213"/>
    <mergeCell ref="E214:F214"/>
    <mergeCell ref="E215:F215"/>
    <mergeCell ref="E216:F216"/>
    <mergeCell ref="E291:F291"/>
    <mergeCell ref="E292:F292"/>
    <mergeCell ref="E293:F293"/>
    <mergeCell ref="E294:F294"/>
    <mergeCell ref="E295:F295"/>
    <mergeCell ref="E296:F296"/>
    <mergeCell ref="E297:F297"/>
    <mergeCell ref="E298:F298"/>
    <mergeCell ref="E299:F299"/>
    <mergeCell ref="E300:F300"/>
    <mergeCell ref="E303:F303"/>
    <mergeCell ref="E183:F183"/>
    <mergeCell ref="E184:F184"/>
    <mergeCell ref="E185:F185"/>
    <mergeCell ref="E186:F186"/>
    <mergeCell ref="E187:F187"/>
    <mergeCell ref="E188:F188"/>
    <mergeCell ref="E189:F189"/>
    <mergeCell ref="E190:F190"/>
    <mergeCell ref="E191:F191"/>
    <mergeCell ref="E192:F192"/>
    <mergeCell ref="E287:F287"/>
    <mergeCell ref="E288:F288"/>
    <mergeCell ref="E279:F279"/>
    <mergeCell ref="E280:F280"/>
    <mergeCell ref="E281:F281"/>
    <mergeCell ref="E282:F282"/>
    <mergeCell ref="E283:F283"/>
    <mergeCell ref="E284:F284"/>
    <mergeCell ref="E285:F285"/>
    <mergeCell ref="E286:F286"/>
    <mergeCell ref="E276:F276"/>
    <mergeCell ref="E255:F255"/>
    <mergeCell ref="E156:F156"/>
    <mergeCell ref="E147:F147"/>
    <mergeCell ref="E148:F148"/>
    <mergeCell ref="E149:F149"/>
    <mergeCell ref="E150:F150"/>
    <mergeCell ref="E151:F151"/>
    <mergeCell ref="E152:F152"/>
    <mergeCell ref="E153:F153"/>
    <mergeCell ref="E154:F154"/>
    <mergeCell ref="E155:F155"/>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96:F96"/>
    <mergeCell ref="E87:F87"/>
    <mergeCell ref="E88:F88"/>
    <mergeCell ref="E89:F89"/>
    <mergeCell ref="E90:F90"/>
    <mergeCell ref="E91:F91"/>
    <mergeCell ref="E92:F92"/>
    <mergeCell ref="E93:F93"/>
    <mergeCell ref="E94:F94"/>
    <mergeCell ref="E95:F95"/>
    <mergeCell ref="E60:F60"/>
    <mergeCell ref="E51:F51"/>
    <mergeCell ref="E52:F52"/>
    <mergeCell ref="E53:F53"/>
    <mergeCell ref="E54:F54"/>
    <mergeCell ref="E55:F55"/>
    <mergeCell ref="E56:F56"/>
    <mergeCell ref="E57:F57"/>
    <mergeCell ref="E58:F58"/>
    <mergeCell ref="E59:F59"/>
    <mergeCell ref="E24:F24"/>
    <mergeCell ref="E15:F15"/>
    <mergeCell ref="E16:F16"/>
    <mergeCell ref="E17:F17"/>
    <mergeCell ref="E18:F18"/>
    <mergeCell ref="E19:F19"/>
    <mergeCell ref="E20:F20"/>
    <mergeCell ref="E21:F21"/>
    <mergeCell ref="E22:F22"/>
    <mergeCell ref="E23:F23"/>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328:B335 B316:B323 B304:B311 B292:B299 B280:B287 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formula1>0</formula1>
      <formula2>60</formula2>
    </dataValidation>
    <dataValidation type="list" allowBlank="1" showInputMessage="1" showErrorMessage="1" sqref="A328:A335 A316:A323 A304:A311 A292:A299 A280:A287 A268:A275 A256:A263 A244:A251 A232:A239 A220:A227 A208:A215 A196:A203 A184:A191 A172:A179 A160:A167 A148:A155 A136:A143 A124:A131 A112:A119 A100:A107 A88:A95 A76:A83 A64:A71 A52:A59 A40:A47 A28:A35 A16:A23 A4:A11">
      <formula1>ListeTaches</formula1>
    </dataValidation>
  </dataValidations>
  <hyperlinks>
    <hyperlink ref="E33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2021-03-03T11:15:07Z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