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6" i="12"/>
  <c r="C24" i="12"/>
  <c r="C18" i="12"/>
  <c r="C17" i="12"/>
  <c r="C19"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8" i="10"/>
  <c r="C41" i="10"/>
  <c r="C30" i="10"/>
  <c r="C16" i="10"/>
  <c r="C29" i="10"/>
  <c r="C36" i="10"/>
  <c r="C12" i="10"/>
  <c r="C28" i="10"/>
  <c r="C42" i="10"/>
  <c r="C40" i="10"/>
  <c r="C24" i="10"/>
  <c r="C43" i="10"/>
  <c r="C4" i="10"/>
  <c r="C5" i="10"/>
  <c r="B36" i="12" l="1"/>
  <c r="C35" i="12"/>
  <c r="C34" i="12"/>
  <c r="C33" i="12"/>
  <c r="C32" i="12"/>
  <c r="C31" i="12"/>
  <c r="C30" i="12"/>
  <c r="B48" i="12"/>
  <c r="C47" i="12"/>
  <c r="C46" i="12"/>
  <c r="C45" i="12"/>
  <c r="B60" i="10"/>
  <c r="C59" i="10"/>
  <c r="C58" i="10"/>
  <c r="C57" i="10"/>
  <c r="C56" i="10"/>
  <c r="C55" i="10"/>
  <c r="C54" i="10"/>
  <c r="B72" i="10"/>
  <c r="C71" i="10"/>
  <c r="C70" i="10"/>
  <c r="C69" i="10"/>
  <c r="C43" i="12"/>
  <c r="C65" i="10"/>
  <c r="C68" i="10"/>
  <c r="C40" i="12"/>
  <c r="C60" i="10"/>
  <c r="C42" i="12"/>
  <c r="C41" i="12"/>
  <c r="C36" i="12"/>
  <c r="C64" i="10"/>
  <c r="C66" i="10"/>
  <c r="C28" i="12"/>
  <c r="C67" i="10"/>
  <c r="C72" i="10"/>
  <c r="C29" i="12"/>
  <c r="C44" i="12"/>
  <c r="C48" i="12"/>
  <c r="C10" i="15" l="1"/>
  <c r="C9" i="15"/>
  <c r="C8" i="15"/>
  <c r="C7" i="15"/>
  <c r="C6" i="15"/>
  <c r="C5" i="15"/>
  <c r="C4" i="15"/>
  <c r="C3" i="15"/>
  <c r="B11" i="15"/>
  <c r="C10" i="16"/>
  <c r="C9" i="16"/>
  <c r="C8" i="16"/>
  <c r="C7" i="16"/>
  <c r="C6" i="16"/>
  <c r="C5" i="16"/>
  <c r="C4" i="16"/>
  <c r="C3" i="16"/>
  <c r="B11" i="16"/>
  <c r="D72" i="1"/>
  <c r="D65" i="1"/>
  <c r="D34" i="1"/>
  <c r="D43" i="1"/>
  <c r="D93" i="1"/>
  <c r="D48" i="1"/>
  <c r="D63" i="1"/>
  <c r="D75" i="1"/>
  <c r="D74" i="1"/>
  <c r="D68" i="1"/>
  <c r="D57" i="1"/>
  <c r="D92" i="1"/>
  <c r="D39" i="1"/>
  <c r="D37" i="1"/>
  <c r="D28" i="1"/>
  <c r="D94" i="1"/>
  <c r="D22" i="1"/>
  <c r="D15" i="1"/>
  <c r="D19" i="1"/>
  <c r="D69" i="1"/>
  <c r="D49" i="1"/>
  <c r="D16" i="1"/>
  <c r="D56" i="1"/>
  <c r="D88" i="1"/>
  <c r="D40" i="1"/>
  <c r="D26" i="1"/>
  <c r="D33" i="1"/>
  <c r="D73" i="1"/>
  <c r="D53" i="1"/>
  <c r="D46" i="1"/>
  <c r="D79" i="1"/>
  <c r="D77" i="1"/>
  <c r="C11" i="16"/>
  <c r="D51" i="1"/>
  <c r="D35" i="1"/>
  <c r="D55" i="1"/>
  <c r="D66" i="1"/>
  <c r="D87" i="1"/>
  <c r="D81" i="1"/>
  <c r="D89" i="1"/>
  <c r="D18" i="1"/>
  <c r="D17" i="1"/>
  <c r="D86" i="1"/>
  <c r="D62" i="1"/>
  <c r="D67" i="1"/>
  <c r="D41" i="1"/>
  <c r="D80" i="1"/>
  <c r="D91" i="1"/>
  <c r="D85" i="1"/>
  <c r="D50" i="1"/>
  <c r="D60" i="1"/>
  <c r="D42" i="1"/>
  <c r="D71" i="1"/>
  <c r="D38" i="1"/>
  <c r="D54" i="1"/>
  <c r="D58" i="1"/>
  <c r="D82" i="1"/>
  <c r="D20" i="1"/>
  <c r="D44" i="1"/>
  <c r="D83" i="1"/>
  <c r="D30" i="1"/>
  <c r="D59" i="1"/>
  <c r="D84" i="1"/>
  <c r="D36" i="1"/>
  <c r="D47" i="1"/>
  <c r="D78" i="1"/>
  <c r="D52" i="1"/>
  <c r="D61" i="1"/>
  <c r="D31" i="1"/>
  <c r="D45" i="1"/>
  <c r="D76" i="1"/>
  <c r="D29" i="1"/>
  <c r="D70" i="1"/>
  <c r="C11" i="15"/>
  <c r="D25" i="1"/>
  <c r="D21" i="1"/>
  <c r="D23" i="1"/>
  <c r="D27" i="1"/>
  <c r="D90" i="1"/>
  <c r="D64" i="1"/>
  <c r="D24" i="1"/>
  <c r="D3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<sst xmlns="http://schemas.openxmlformats.org/spreadsheetml/2006/main" count="471" uniqueCount="107">
  <si>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</si>
  <si>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</si>
  <si>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</si>
  <si>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</si>
  <si>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</si>
  <si>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</si>
  <si>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</si>
  <si>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</si>
  <si>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</si>
  <si>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</si>
  <si>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</si>
  <si>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</si>
  <si>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</si>
  <si>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</si>
  <si>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</si>
  <si>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</si>
  <si>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</si>
  <si>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</si>
  <si>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</si>
  <si>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</si>
  <si>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</si>
  <si>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</si>
  <si>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</si>
  <si>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</si>
  <si>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</si>
  <si>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</si>
  <si>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</si>
  <si>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</si>
  <si>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</si>
  <si>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</si>
  <si>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</si>
  <si>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</si>
  <si>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</si>
  <si>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</si>
  <si>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</si>
  <si>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</si>
  <si>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</si>
  <si>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</si>
  <si>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</si>
  <si>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</si>
  <si>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</si>
  <si>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</si>
  <si>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</si>
  <si>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</si>
  <si>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</si>
  <si>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</si>
  <si>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</si>
  <si>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</si>
  <si>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</si>
  <si>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</si>
  <si>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</si>
  <si>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</si>
  <si>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</si>
  <si>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</si>
  <si>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</si>
  <si>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</si>
  <si>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</si>
  <si>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</si>
  <si>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</si>
  <si>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</si>
  <si>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</si>
  <si>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</si>
  <si>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</si>
  <si>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</si>
  <si>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</si>
  <si>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</si>
  <si>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</si>
  <si>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</si>
  <si>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</si>
  <si>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</si>
  <si>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</si>
  <si>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</si>
  <si>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</si>
  <si>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</si>
  <si>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</si>
  <si>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</si>
  <si>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</si>
  <si>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</si>
  <si>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</si>
  <si>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</si>
  <si>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</si>
  <si>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</si>
  <si>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</si>
  <si>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</si>
  <si>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</si>
  <si>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</si>
  <si>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8h30min</t>
  </si>
  <si>
    <t>7h15min</t>
  </si>
  <si>
    <t>- 1h15min</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</si>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</sst>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0</c:v>
              </c:pt>
              <c:pt idx="2">
                <c:v>0</c:v>
              </c:pt>
              <c:pt idx="3">
                <c:v>0</c:v>
              </c:pt>
              <c:pt idx="4">
                <c:v>0.75</c:v>
              </c:pt>
              <c:pt idx="5">
                <c:v>1.25</c:v>
              </c:pt>
              <c:pt idx="6">
                <c:v>4</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0.25</c:v>
              </c:pt>
              <c:pt idx="2">
                <c:v>0</c:v>
              </c:pt>
              <c:pt idx="3">
                <c:v>0</c:v>
              </c:pt>
              <c:pt idx="4">
                <c:v>0.75</c:v>
              </c:pt>
              <c:pt idx="5">
                <c:v>0</c:v>
              </c:pt>
              <c:pt idx="6">
                <c:v>4.25</c:v>
              </c:pt>
              <c:pt idx="7">
                <c:v>0</c:v>
              </c:pt>
              <c:pt idx="8">
                <c:v>0</c:v>
              </c:pt>
              <c:pt idx="9">
                <c:v>0</c:v>
              </c:pt>
              <c:pt idx="10">
                <c:v>0</c:v>
              </c:pt>
              <c:pt idx="11">
                <c:v>0</c:v>
              </c:pt>
              <c:pt idx="12">
                <c:v>0.25</c:v>
              </c:pt>
              <c:pt idx="13">
                <c:v>0.75</c:v>
              </c:pt>
              <c:pt idx="14">
                <c:v>0</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2" t="s">
        <v>30</v>
      </c>
      <c r="C35" s="192"/>
      <c r="D35" s="192"/>
      <c r="E35" s="106" t="s">
        <v>86</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3" t="s">
        <v>31</v>
      </c>
      <c r="C37" s="193"/>
      <c r="D37" s="193"/>
      <c r="E37" s="108" t="s">
        <v>87</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88</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3" zoomScale="70" zoomScaleNormal="70" zoomScaleSheetLayoutView="10" zoomScalePageLayoutView="10" workbookViewId="0">
      <selection activeCell="CM46" sqref="CM46"/>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24" t="s">
        <v>29</v>
      </c>
      <c r="D1" s="224"/>
      <c r="E1" s="22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25"/>
      <c r="D7" s="225"/>
      <c r="E7" s="22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20" t="str">
        <f>E96</f>
        <v>8h30min</v>
      </c>
      <c r="H9" s="220"/>
      <c r="I9" s="220"/>
      <c r="J9" s="220"/>
      <c r="K9" s="220"/>
      <c r="L9" s="220"/>
      <c r="M9" s="220"/>
      <c r="N9" s="220"/>
      <c r="O9" s="220"/>
      <c r="P9" s="220"/>
      <c r="Q9" s="220"/>
      <c r="R9" s="220"/>
      <c r="S9" s="220"/>
      <c r="T9" s="220"/>
      <c r="U9" s="220"/>
      <c r="V9" s="118"/>
      <c r="W9" s="219" t="s">
        <v>21</v>
      </c>
      <c r="X9" s="219"/>
      <c r="Y9" s="219"/>
      <c r="Z9" s="219"/>
      <c r="AA9" s="219"/>
      <c r="AB9" s="219"/>
      <c r="AC9" s="219"/>
      <c r="AD9" s="219"/>
      <c r="AE9" s="219"/>
      <c r="AF9" s="219"/>
      <c r="AG9" s="219"/>
      <c r="AH9" s="220" t="str">
        <f>E98</f>
        <v>7h15min</v>
      </c>
      <c r="AI9" s="220"/>
      <c r="AJ9" s="220"/>
      <c r="AK9" s="220"/>
      <c r="AL9" s="220"/>
      <c r="AM9" s="220"/>
      <c r="AN9" s="220"/>
      <c r="AO9" s="220"/>
      <c r="AP9" s="220"/>
      <c r="AQ9" s="220"/>
      <c r="AR9" s="220"/>
      <c r="AS9" s="220"/>
      <c r="AT9" s="220"/>
      <c r="AU9" s="220"/>
      <c r="AV9" s="220"/>
      <c r="AW9" s="220"/>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1"/>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89"/>
    </row>
    <row r="11" spans="1:1086" ht="20.100000000000001" customHeight="1">
      <c r="B11" s="95"/>
      <c r="C11" s="222"/>
      <c r="D11" s="222"/>
      <c r="E11" s="222"/>
      <c r="F11" s="218" t="s">
        <v>71</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71</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195"/>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89"/>
    </row>
    <row r="12" spans="1:1086" ht="15.75" customHeight="1" thickBot="1">
      <c r="B12" s="96"/>
      <c r="C12" s="223"/>
      <c r="D12" s="223"/>
      <c r="E12" s="223"/>
      <c r="F12" s="217" t="s">
        <v>74</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75</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196"/>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89"/>
    </row>
    <row r="13" spans="1:1086" ht="42.75" customHeight="1" thickBot="1">
      <c r="B13" s="95"/>
      <c r="C13" s="213" t="s">
        <v>6</v>
      </c>
      <c r="D13" s="143"/>
      <c r="E13" s="215" t="s">
        <v>37</v>
      </c>
      <c r="F13" s="197" t="s">
        <v>7</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26</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17</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43</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42</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41</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40</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39</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49</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48</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47</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46</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45</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44</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67</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11</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11</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11</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89"/>
    </row>
    <row r="14" spans="1:1086" ht="12.75" customHeight="1" thickBot="1">
      <c r="B14" s="95"/>
      <c r="C14" s="214"/>
      <c r="D14" s="144"/>
      <c r="E14" s="216"/>
      <c r="F14" s="102"/>
      <c r="G14" s="103"/>
      <c r="H14" s="103"/>
      <c r="I14" s="103"/>
      <c r="J14" s="200" t="s">
        <v>32</v>
      </c>
      <c r="K14" s="200"/>
      <c r="L14" s="200"/>
      <c r="M14" s="200"/>
      <c r="N14" s="103"/>
      <c r="O14" s="103"/>
      <c r="P14" s="201" t="s">
        <v>22</v>
      </c>
      <c r="Q14" s="201"/>
      <c r="R14" s="201"/>
      <c r="S14" s="201"/>
      <c r="T14" s="128"/>
      <c r="U14" s="128"/>
      <c r="V14" s="200" t="s">
        <v>33</v>
      </c>
      <c r="W14" s="200"/>
      <c r="X14" s="200"/>
      <c r="Y14" s="200"/>
      <c r="Z14" s="103"/>
      <c r="AA14" s="103"/>
      <c r="AB14" s="201" t="s">
        <v>23</v>
      </c>
      <c r="AC14" s="201"/>
      <c r="AD14" s="201"/>
      <c r="AE14" s="201"/>
      <c r="AF14" s="128"/>
      <c r="AG14" s="128"/>
      <c r="AH14" s="200" t="s">
        <v>34</v>
      </c>
      <c r="AI14" s="200"/>
      <c r="AJ14" s="200"/>
      <c r="AK14" s="200"/>
      <c r="AL14" s="103"/>
      <c r="AM14" s="103"/>
      <c r="AN14" s="201" t="s">
        <v>24</v>
      </c>
      <c r="AO14" s="201"/>
      <c r="AP14" s="201"/>
      <c r="AQ14" s="201"/>
      <c r="AR14" s="128"/>
      <c r="AS14" s="128"/>
      <c r="AT14" s="200" t="s">
        <v>35</v>
      </c>
      <c r="AU14" s="200"/>
      <c r="AV14" s="200"/>
      <c r="AW14" s="200"/>
      <c r="AX14" s="103"/>
      <c r="AY14" s="103"/>
      <c r="AZ14" s="201" t="s">
        <v>25</v>
      </c>
      <c r="BA14" s="201"/>
      <c r="BB14" s="201"/>
      <c r="BC14" s="201"/>
      <c r="BD14" s="128"/>
      <c r="BE14" s="128"/>
      <c r="BF14" s="200" t="s">
        <v>36</v>
      </c>
      <c r="BG14" s="200"/>
      <c r="BH14" s="200"/>
      <c r="BI14" s="200"/>
      <c r="BJ14" s="103"/>
      <c r="BK14" s="103"/>
      <c r="BL14" s="103"/>
      <c r="BM14" s="104"/>
      <c r="BN14" s="102"/>
      <c r="BO14" s="103"/>
      <c r="BP14" s="103"/>
      <c r="BQ14" s="103"/>
      <c r="BR14" s="200" t="s">
        <v>32</v>
      </c>
      <c r="BS14" s="200"/>
      <c r="BT14" s="200"/>
      <c r="BU14" s="200"/>
      <c r="BV14" s="103"/>
      <c r="BW14" s="103"/>
      <c r="BX14" s="201" t="s">
        <v>22</v>
      </c>
      <c r="BY14" s="201"/>
      <c r="BZ14" s="201"/>
      <c r="CA14" s="201"/>
      <c r="CB14" s="128"/>
      <c r="CC14" s="128"/>
      <c r="CD14" s="200" t="s">
        <v>33</v>
      </c>
      <c r="CE14" s="200"/>
      <c r="CF14" s="200"/>
      <c r="CG14" s="200"/>
      <c r="CH14" s="103"/>
      <c r="CI14" s="103"/>
      <c r="CJ14" s="201" t="s">
        <v>23</v>
      </c>
      <c r="CK14" s="201"/>
      <c r="CL14" s="201"/>
      <c r="CM14" s="201"/>
      <c r="CN14" s="128"/>
      <c r="CO14" s="128"/>
      <c r="CP14" s="200" t="s">
        <v>34</v>
      </c>
      <c r="CQ14" s="200"/>
      <c r="CR14" s="200"/>
      <c r="CS14" s="200"/>
      <c r="CT14" s="103"/>
      <c r="CU14" s="103"/>
      <c r="CV14" s="201" t="s">
        <v>24</v>
      </c>
      <c r="CW14" s="201"/>
      <c r="CX14" s="201"/>
      <c r="CY14" s="201"/>
      <c r="CZ14" s="128"/>
      <c r="DA14" s="128"/>
      <c r="DB14" s="200" t="s">
        <v>35</v>
      </c>
      <c r="DC14" s="200"/>
      <c r="DD14" s="200"/>
      <c r="DE14" s="200"/>
      <c r="DF14" s="103"/>
      <c r="DG14" s="103"/>
      <c r="DH14" s="201" t="s">
        <v>25</v>
      </c>
      <c r="DI14" s="201"/>
      <c r="DJ14" s="201"/>
      <c r="DK14" s="201"/>
      <c r="DL14" s="128"/>
      <c r="DM14" s="128"/>
      <c r="DN14" s="200" t="s">
        <v>36</v>
      </c>
      <c r="DO14" s="200"/>
      <c r="DP14" s="200"/>
      <c r="DQ14" s="200"/>
      <c r="DR14" s="103"/>
      <c r="DS14" s="103"/>
      <c r="DT14" s="103"/>
      <c r="DU14" s="104"/>
      <c r="DV14" s="102"/>
      <c r="DW14" s="103"/>
      <c r="DX14" s="103"/>
      <c r="DY14" s="103"/>
      <c r="DZ14" s="200" t="s">
        <v>32</v>
      </c>
      <c r="EA14" s="200"/>
      <c r="EB14" s="200"/>
      <c r="EC14" s="200"/>
      <c r="ED14" s="103"/>
      <c r="EE14" s="103"/>
      <c r="EF14" s="201" t="s">
        <v>22</v>
      </c>
      <c r="EG14" s="201"/>
      <c r="EH14" s="201"/>
      <c r="EI14" s="201"/>
      <c r="EJ14" s="128"/>
      <c r="EK14" s="128"/>
      <c r="EL14" s="200" t="s">
        <v>33</v>
      </c>
      <c r="EM14" s="200"/>
      <c r="EN14" s="200"/>
      <c r="EO14" s="200"/>
      <c r="EP14" s="103"/>
      <c r="EQ14" s="103"/>
      <c r="ER14" s="201" t="s">
        <v>23</v>
      </c>
      <c r="ES14" s="201"/>
      <c r="ET14" s="201"/>
      <c r="EU14" s="201"/>
      <c r="EV14" s="128"/>
      <c r="EW14" s="128"/>
      <c r="EX14" s="200" t="s">
        <v>34</v>
      </c>
      <c r="EY14" s="200"/>
      <c r="EZ14" s="200"/>
      <c r="FA14" s="200"/>
      <c r="FB14" s="103"/>
      <c r="FC14" s="103"/>
      <c r="FD14" s="201" t="s">
        <v>24</v>
      </c>
      <c r="FE14" s="201"/>
      <c r="FF14" s="201"/>
      <c r="FG14" s="201"/>
      <c r="FH14" s="128"/>
      <c r="FI14" s="128"/>
      <c r="FJ14" s="200" t="s">
        <v>35</v>
      </c>
      <c r="FK14" s="200"/>
      <c r="FL14" s="200"/>
      <c r="FM14" s="200"/>
      <c r="FN14" s="103"/>
      <c r="FO14" s="103"/>
      <c r="FP14" s="201" t="s">
        <v>25</v>
      </c>
      <c r="FQ14" s="201"/>
      <c r="FR14" s="201"/>
      <c r="FS14" s="201"/>
      <c r="FT14" s="128"/>
      <c r="FU14" s="128"/>
      <c r="FV14" s="200" t="s">
        <v>36</v>
      </c>
      <c r="FW14" s="200"/>
      <c r="FX14" s="200"/>
      <c r="FY14" s="200"/>
      <c r="FZ14" s="103"/>
      <c r="GA14" s="103"/>
      <c r="GB14" s="103"/>
      <c r="GC14" s="104"/>
      <c r="GD14" s="102"/>
      <c r="GE14" s="103"/>
      <c r="GF14" s="103"/>
      <c r="GG14" s="103"/>
      <c r="GH14" s="200" t="s">
        <v>32</v>
      </c>
      <c r="GI14" s="200"/>
      <c r="GJ14" s="200"/>
      <c r="GK14" s="200"/>
      <c r="GL14" s="103"/>
      <c r="GM14" s="103"/>
      <c r="GN14" s="201" t="s">
        <v>22</v>
      </c>
      <c r="GO14" s="201"/>
      <c r="GP14" s="201"/>
      <c r="GQ14" s="201"/>
      <c r="GR14" s="128"/>
      <c r="GS14" s="128"/>
      <c r="GT14" s="200" t="s">
        <v>33</v>
      </c>
      <c r="GU14" s="200"/>
      <c r="GV14" s="200"/>
      <c r="GW14" s="200"/>
      <c r="GX14" s="103"/>
      <c r="GY14" s="103"/>
      <c r="GZ14" s="201" t="s">
        <v>23</v>
      </c>
      <c r="HA14" s="201"/>
      <c r="HB14" s="201"/>
      <c r="HC14" s="201"/>
      <c r="HD14" s="128"/>
      <c r="HE14" s="128"/>
      <c r="HF14" s="200" t="s">
        <v>34</v>
      </c>
      <c r="HG14" s="200"/>
      <c r="HH14" s="200"/>
      <c r="HI14" s="200"/>
      <c r="HJ14" s="103"/>
      <c r="HK14" s="103"/>
      <c r="HL14" s="201" t="s">
        <v>24</v>
      </c>
      <c r="HM14" s="201"/>
      <c r="HN14" s="201"/>
      <c r="HO14" s="201"/>
      <c r="HP14" s="128"/>
      <c r="HQ14" s="128"/>
      <c r="HR14" s="200" t="s">
        <v>35</v>
      </c>
      <c r="HS14" s="200"/>
      <c r="HT14" s="200"/>
      <c r="HU14" s="200"/>
      <c r="HV14" s="103"/>
      <c r="HW14" s="103"/>
      <c r="HX14" s="201" t="s">
        <v>25</v>
      </c>
      <c r="HY14" s="201"/>
      <c r="HZ14" s="201"/>
      <c r="IA14" s="201"/>
      <c r="IB14" s="128"/>
      <c r="IC14" s="128"/>
      <c r="ID14" s="200" t="s">
        <v>36</v>
      </c>
      <c r="IE14" s="200"/>
      <c r="IF14" s="200"/>
      <c r="IG14" s="200"/>
      <c r="IH14" s="103"/>
      <c r="II14" s="103"/>
      <c r="IJ14" s="103"/>
      <c r="IK14" s="104"/>
      <c r="IL14" s="102"/>
      <c r="IM14" s="103"/>
      <c r="IN14" s="103"/>
      <c r="IO14" s="103"/>
      <c r="IP14" s="200" t="s">
        <v>32</v>
      </c>
      <c r="IQ14" s="200"/>
      <c r="IR14" s="200"/>
      <c r="IS14" s="200"/>
      <c r="IT14" s="103"/>
      <c r="IU14" s="103"/>
      <c r="IV14" s="201" t="s">
        <v>22</v>
      </c>
      <c r="IW14" s="201"/>
      <c r="IX14" s="201"/>
      <c r="IY14" s="201"/>
      <c r="IZ14" s="128"/>
      <c r="JA14" s="128"/>
      <c r="JB14" s="200" t="s">
        <v>33</v>
      </c>
      <c r="JC14" s="200"/>
      <c r="JD14" s="200"/>
      <c r="JE14" s="200"/>
      <c r="JF14" s="103"/>
      <c r="JG14" s="103"/>
      <c r="JH14" s="201" t="s">
        <v>23</v>
      </c>
      <c r="JI14" s="201"/>
      <c r="JJ14" s="201"/>
      <c r="JK14" s="201"/>
      <c r="JL14" s="128"/>
      <c r="JM14" s="128"/>
      <c r="JN14" s="200" t="s">
        <v>34</v>
      </c>
      <c r="JO14" s="200"/>
      <c r="JP14" s="200"/>
      <c r="JQ14" s="200"/>
      <c r="JR14" s="103"/>
      <c r="JS14" s="103"/>
      <c r="JT14" s="201" t="s">
        <v>24</v>
      </c>
      <c r="JU14" s="201"/>
      <c r="JV14" s="201"/>
      <c r="JW14" s="201"/>
      <c r="JX14" s="128"/>
      <c r="JY14" s="128"/>
      <c r="JZ14" s="200" t="s">
        <v>35</v>
      </c>
      <c r="KA14" s="200"/>
      <c r="KB14" s="200"/>
      <c r="KC14" s="200"/>
      <c r="KD14" s="103"/>
      <c r="KE14" s="103"/>
      <c r="KF14" s="201" t="s">
        <v>25</v>
      </c>
      <c r="KG14" s="201"/>
      <c r="KH14" s="201"/>
      <c r="KI14" s="201"/>
      <c r="KJ14" s="128"/>
      <c r="KK14" s="128"/>
      <c r="KL14" s="200" t="s">
        <v>36</v>
      </c>
      <c r="KM14" s="200"/>
      <c r="KN14" s="200"/>
      <c r="KO14" s="200"/>
      <c r="KP14" s="103"/>
      <c r="KQ14" s="103"/>
      <c r="KR14" s="103"/>
      <c r="KS14" s="104"/>
      <c r="KT14" s="102"/>
      <c r="KU14" s="103"/>
      <c r="KV14" s="103"/>
      <c r="KW14" s="103"/>
      <c r="KX14" s="200" t="s">
        <v>32</v>
      </c>
      <c r="KY14" s="200"/>
      <c r="KZ14" s="200"/>
      <c r="LA14" s="200"/>
      <c r="LB14" s="103"/>
      <c r="LC14" s="103"/>
      <c r="LD14" s="201" t="s">
        <v>22</v>
      </c>
      <c r="LE14" s="201"/>
      <c r="LF14" s="201"/>
      <c r="LG14" s="201"/>
      <c r="LH14" s="128"/>
      <c r="LI14" s="128"/>
      <c r="LJ14" s="200" t="s">
        <v>33</v>
      </c>
      <c r="LK14" s="200"/>
      <c r="LL14" s="200"/>
      <c r="LM14" s="200"/>
      <c r="LN14" s="103"/>
      <c r="LO14" s="103"/>
      <c r="LP14" s="201" t="s">
        <v>23</v>
      </c>
      <c r="LQ14" s="201"/>
      <c r="LR14" s="201"/>
      <c r="LS14" s="201"/>
      <c r="LT14" s="128"/>
      <c r="LU14" s="128"/>
      <c r="LV14" s="200" t="s">
        <v>34</v>
      </c>
      <c r="LW14" s="200"/>
      <c r="LX14" s="200"/>
      <c r="LY14" s="200"/>
      <c r="LZ14" s="103"/>
      <c r="MA14" s="103"/>
      <c r="MB14" s="201" t="s">
        <v>24</v>
      </c>
      <c r="MC14" s="201"/>
      <c r="MD14" s="201"/>
      <c r="ME14" s="201"/>
      <c r="MF14" s="128"/>
      <c r="MG14" s="128"/>
      <c r="MH14" s="200" t="s">
        <v>35</v>
      </c>
      <c r="MI14" s="200"/>
      <c r="MJ14" s="200"/>
      <c r="MK14" s="200"/>
      <c r="ML14" s="103"/>
      <c r="MM14" s="103"/>
      <c r="MN14" s="201" t="s">
        <v>25</v>
      </c>
      <c r="MO14" s="201"/>
      <c r="MP14" s="201"/>
      <c r="MQ14" s="201"/>
      <c r="MR14" s="128"/>
      <c r="MS14" s="128"/>
      <c r="MT14" s="200" t="s">
        <v>36</v>
      </c>
      <c r="MU14" s="200"/>
      <c r="MV14" s="200"/>
      <c r="MW14" s="200"/>
      <c r="MX14" s="103"/>
      <c r="MY14" s="103"/>
      <c r="MZ14" s="103"/>
      <c r="NA14" s="104"/>
      <c r="NB14" s="102"/>
      <c r="NC14" s="103"/>
      <c r="ND14" s="103"/>
      <c r="NE14" s="103"/>
      <c r="NF14" s="200" t="s">
        <v>32</v>
      </c>
      <c r="NG14" s="200"/>
      <c r="NH14" s="200"/>
      <c r="NI14" s="200"/>
      <c r="NJ14" s="103"/>
      <c r="NK14" s="103"/>
      <c r="NL14" s="201" t="s">
        <v>22</v>
      </c>
      <c r="NM14" s="201"/>
      <c r="NN14" s="201"/>
      <c r="NO14" s="201"/>
      <c r="NP14" s="128"/>
      <c r="NQ14" s="128"/>
      <c r="NR14" s="200" t="s">
        <v>33</v>
      </c>
      <c r="NS14" s="200"/>
      <c r="NT14" s="200"/>
      <c r="NU14" s="200"/>
      <c r="NV14" s="103"/>
      <c r="NW14" s="103"/>
      <c r="NX14" s="201" t="s">
        <v>23</v>
      </c>
      <c r="NY14" s="201"/>
      <c r="NZ14" s="201"/>
      <c r="OA14" s="201"/>
      <c r="OB14" s="128"/>
      <c r="OC14" s="128"/>
      <c r="OD14" s="200" t="s">
        <v>34</v>
      </c>
      <c r="OE14" s="200"/>
      <c r="OF14" s="200"/>
      <c r="OG14" s="200"/>
      <c r="OH14" s="103"/>
      <c r="OI14" s="103"/>
      <c r="OJ14" s="201" t="s">
        <v>24</v>
      </c>
      <c r="OK14" s="201"/>
      <c r="OL14" s="201"/>
      <c r="OM14" s="201"/>
      <c r="ON14" s="128"/>
      <c r="OO14" s="128"/>
      <c r="OP14" s="200" t="s">
        <v>35</v>
      </c>
      <c r="OQ14" s="200"/>
      <c r="OR14" s="200"/>
      <c r="OS14" s="200"/>
      <c r="OT14" s="103"/>
      <c r="OU14" s="103"/>
      <c r="OV14" s="201" t="s">
        <v>25</v>
      </c>
      <c r="OW14" s="201"/>
      <c r="OX14" s="201"/>
      <c r="OY14" s="201"/>
      <c r="OZ14" s="128"/>
      <c r="PA14" s="128"/>
      <c r="PB14" s="200" t="s">
        <v>36</v>
      </c>
      <c r="PC14" s="200"/>
      <c r="PD14" s="200"/>
      <c r="PE14" s="200"/>
      <c r="PF14" s="103"/>
      <c r="PG14" s="103"/>
      <c r="PH14" s="103"/>
      <c r="PI14" s="104"/>
      <c r="PJ14" s="102"/>
      <c r="PK14" s="103"/>
      <c r="PL14" s="103"/>
      <c r="PM14" s="103"/>
      <c r="PN14" s="200" t="s">
        <v>32</v>
      </c>
      <c r="PO14" s="200"/>
      <c r="PP14" s="200"/>
      <c r="PQ14" s="200"/>
      <c r="PR14" s="103"/>
      <c r="PS14" s="103"/>
      <c r="PT14" s="201" t="s">
        <v>22</v>
      </c>
      <c r="PU14" s="201"/>
      <c r="PV14" s="201"/>
      <c r="PW14" s="201"/>
      <c r="PX14" s="128"/>
      <c r="PY14" s="128"/>
      <c r="PZ14" s="200" t="s">
        <v>33</v>
      </c>
      <c r="QA14" s="200"/>
      <c r="QB14" s="200"/>
      <c r="QC14" s="200"/>
      <c r="QD14" s="103"/>
      <c r="QE14" s="103"/>
      <c r="QF14" s="201" t="s">
        <v>23</v>
      </c>
      <c r="QG14" s="201"/>
      <c r="QH14" s="201"/>
      <c r="QI14" s="201"/>
      <c r="QJ14" s="128"/>
      <c r="QK14" s="128"/>
      <c r="QL14" s="200" t="s">
        <v>34</v>
      </c>
      <c r="QM14" s="200"/>
      <c r="QN14" s="200"/>
      <c r="QO14" s="200"/>
      <c r="QP14" s="103"/>
      <c r="QQ14" s="103"/>
      <c r="QR14" s="201" t="s">
        <v>24</v>
      </c>
      <c r="QS14" s="201"/>
      <c r="QT14" s="201"/>
      <c r="QU14" s="201"/>
      <c r="QV14" s="128"/>
      <c r="QW14" s="128"/>
      <c r="QX14" s="200" t="s">
        <v>35</v>
      </c>
      <c r="QY14" s="200"/>
      <c r="QZ14" s="200"/>
      <c r="RA14" s="200"/>
      <c r="RB14" s="103"/>
      <c r="RC14" s="103"/>
      <c r="RD14" s="201" t="s">
        <v>25</v>
      </c>
      <c r="RE14" s="201"/>
      <c r="RF14" s="201"/>
      <c r="RG14" s="201"/>
      <c r="RH14" s="128"/>
      <c r="RI14" s="128"/>
      <c r="RJ14" s="200" t="s">
        <v>36</v>
      </c>
      <c r="RK14" s="200"/>
      <c r="RL14" s="200"/>
      <c r="RM14" s="200"/>
      <c r="RN14" s="103"/>
      <c r="RO14" s="103"/>
      <c r="RP14" s="103"/>
      <c r="RQ14" s="104"/>
      <c r="RR14" s="102"/>
      <c r="RS14" s="103"/>
      <c r="RT14" s="103"/>
      <c r="RU14" s="103"/>
      <c r="RV14" s="200" t="s">
        <v>32</v>
      </c>
      <c r="RW14" s="200"/>
      <c r="RX14" s="200"/>
      <c r="RY14" s="200"/>
      <c r="RZ14" s="103"/>
      <c r="SA14" s="103"/>
      <c r="SB14" s="201" t="s">
        <v>22</v>
      </c>
      <c r="SC14" s="201"/>
      <c r="SD14" s="201"/>
      <c r="SE14" s="201"/>
      <c r="SF14" s="128"/>
      <c r="SG14" s="128"/>
      <c r="SH14" s="200" t="s">
        <v>33</v>
      </c>
      <c r="SI14" s="200"/>
      <c r="SJ14" s="200"/>
      <c r="SK14" s="200"/>
      <c r="SL14" s="103"/>
      <c r="SM14" s="103"/>
      <c r="SN14" s="201" t="s">
        <v>23</v>
      </c>
      <c r="SO14" s="201"/>
      <c r="SP14" s="201"/>
      <c r="SQ14" s="201"/>
      <c r="SR14" s="128"/>
      <c r="SS14" s="128"/>
      <c r="ST14" s="200" t="s">
        <v>34</v>
      </c>
      <c r="SU14" s="200"/>
      <c r="SV14" s="200"/>
      <c r="SW14" s="200"/>
      <c r="SX14" s="103"/>
      <c r="SY14" s="103"/>
      <c r="SZ14" s="201" t="s">
        <v>24</v>
      </c>
      <c r="TA14" s="201"/>
      <c r="TB14" s="201"/>
      <c r="TC14" s="201"/>
      <c r="TD14" s="128"/>
      <c r="TE14" s="128"/>
      <c r="TF14" s="200" t="s">
        <v>35</v>
      </c>
      <c r="TG14" s="200"/>
      <c r="TH14" s="200"/>
      <c r="TI14" s="200"/>
      <c r="TJ14" s="103"/>
      <c r="TK14" s="103"/>
      <c r="TL14" s="201" t="s">
        <v>25</v>
      </c>
      <c r="TM14" s="201"/>
      <c r="TN14" s="201"/>
      <c r="TO14" s="201"/>
      <c r="TP14" s="128"/>
      <c r="TQ14" s="128"/>
      <c r="TR14" s="200" t="s">
        <v>36</v>
      </c>
      <c r="TS14" s="200"/>
      <c r="TT14" s="200"/>
      <c r="TU14" s="200"/>
      <c r="TV14" s="103"/>
      <c r="TW14" s="103"/>
      <c r="TX14" s="103"/>
      <c r="TY14" s="104"/>
      <c r="TZ14" s="102"/>
      <c r="UA14" s="103"/>
      <c r="UB14" s="103"/>
      <c r="UC14" s="103"/>
      <c r="UD14" s="200" t="s">
        <v>32</v>
      </c>
      <c r="UE14" s="200"/>
      <c r="UF14" s="200"/>
      <c r="UG14" s="200"/>
      <c r="UH14" s="103"/>
      <c r="UI14" s="103"/>
      <c r="UJ14" s="201" t="s">
        <v>22</v>
      </c>
      <c r="UK14" s="201"/>
      <c r="UL14" s="201"/>
      <c r="UM14" s="201"/>
      <c r="UN14" s="128"/>
      <c r="UO14" s="128"/>
      <c r="UP14" s="200" t="s">
        <v>33</v>
      </c>
      <c r="UQ14" s="200"/>
      <c r="UR14" s="200"/>
      <c r="US14" s="200"/>
      <c r="UT14" s="103"/>
      <c r="UU14" s="103"/>
      <c r="UV14" s="201" t="s">
        <v>23</v>
      </c>
      <c r="UW14" s="201"/>
      <c r="UX14" s="201"/>
      <c r="UY14" s="201"/>
      <c r="UZ14" s="128"/>
      <c r="VA14" s="128"/>
      <c r="VB14" s="200" t="s">
        <v>34</v>
      </c>
      <c r="VC14" s="200"/>
      <c r="VD14" s="200"/>
      <c r="VE14" s="200"/>
      <c r="VF14" s="103"/>
      <c r="VG14" s="103"/>
      <c r="VH14" s="201" t="s">
        <v>24</v>
      </c>
      <c r="VI14" s="201"/>
      <c r="VJ14" s="201"/>
      <c r="VK14" s="201"/>
      <c r="VL14" s="128"/>
      <c r="VM14" s="128"/>
      <c r="VN14" s="200" t="s">
        <v>35</v>
      </c>
      <c r="VO14" s="200"/>
      <c r="VP14" s="200"/>
      <c r="VQ14" s="200"/>
      <c r="VR14" s="103"/>
      <c r="VS14" s="103"/>
      <c r="VT14" s="201" t="s">
        <v>25</v>
      </c>
      <c r="VU14" s="201"/>
      <c r="VV14" s="201"/>
      <c r="VW14" s="201"/>
      <c r="VX14" s="128"/>
      <c r="VY14" s="128"/>
      <c r="VZ14" s="200" t="s">
        <v>36</v>
      </c>
      <c r="WA14" s="200"/>
      <c r="WB14" s="200"/>
      <c r="WC14" s="200"/>
      <c r="WD14" s="103"/>
      <c r="WE14" s="103"/>
      <c r="WF14" s="103"/>
      <c r="WG14" s="104"/>
      <c r="WH14" s="102"/>
      <c r="WI14" s="103"/>
      <c r="WJ14" s="103"/>
      <c r="WK14" s="103"/>
      <c r="WL14" s="200" t="s">
        <v>32</v>
      </c>
      <c r="WM14" s="200"/>
      <c r="WN14" s="200"/>
      <c r="WO14" s="200"/>
      <c r="WP14" s="103"/>
      <c r="WQ14" s="103"/>
      <c r="WR14" s="201" t="s">
        <v>22</v>
      </c>
      <c r="WS14" s="201"/>
      <c r="WT14" s="201"/>
      <c r="WU14" s="201"/>
      <c r="WV14" s="128"/>
      <c r="WW14" s="128"/>
      <c r="WX14" s="200" t="s">
        <v>33</v>
      </c>
      <c r="WY14" s="200"/>
      <c r="WZ14" s="200"/>
      <c r="XA14" s="200"/>
      <c r="XB14" s="103"/>
      <c r="XC14" s="103"/>
      <c r="XD14" s="201" t="s">
        <v>23</v>
      </c>
      <c r="XE14" s="201"/>
      <c r="XF14" s="201"/>
      <c r="XG14" s="201"/>
      <c r="XH14" s="128"/>
      <c r="XI14" s="128"/>
      <c r="XJ14" s="200" t="s">
        <v>34</v>
      </c>
      <c r="XK14" s="200"/>
      <c r="XL14" s="200"/>
      <c r="XM14" s="200"/>
      <c r="XN14" s="103"/>
      <c r="XO14" s="103"/>
      <c r="XP14" s="201" t="s">
        <v>24</v>
      </c>
      <c r="XQ14" s="201"/>
      <c r="XR14" s="201"/>
      <c r="XS14" s="201"/>
      <c r="XT14" s="128"/>
      <c r="XU14" s="128"/>
      <c r="XV14" s="200" t="s">
        <v>35</v>
      </c>
      <c r="XW14" s="200"/>
      <c r="XX14" s="200"/>
      <c r="XY14" s="200"/>
      <c r="XZ14" s="103"/>
      <c r="YA14" s="103"/>
      <c r="YB14" s="201" t="s">
        <v>25</v>
      </c>
      <c r="YC14" s="201"/>
      <c r="YD14" s="201"/>
      <c r="YE14" s="201"/>
      <c r="YF14" s="128"/>
      <c r="YG14" s="128"/>
      <c r="YH14" s="200" t="s">
        <v>36</v>
      </c>
      <c r="YI14" s="200"/>
      <c r="YJ14" s="200"/>
      <c r="YK14" s="200"/>
      <c r="YL14" s="103"/>
      <c r="YM14" s="103"/>
      <c r="YN14" s="103"/>
      <c r="YO14" s="104"/>
      <c r="YP14" s="102"/>
      <c r="YQ14" s="103"/>
      <c r="YR14" s="103"/>
      <c r="YS14" s="103"/>
      <c r="YT14" s="200" t="s">
        <v>32</v>
      </c>
      <c r="YU14" s="200"/>
      <c r="YV14" s="200"/>
      <c r="YW14" s="200"/>
      <c r="YX14" s="103"/>
      <c r="YY14" s="103"/>
      <c r="YZ14" s="201" t="s">
        <v>22</v>
      </c>
      <c r="ZA14" s="201"/>
      <c r="ZB14" s="201"/>
      <c r="ZC14" s="201"/>
      <c r="ZD14" s="128"/>
      <c r="ZE14" s="128"/>
      <c r="ZF14" s="200" t="s">
        <v>33</v>
      </c>
      <c r="ZG14" s="200"/>
      <c r="ZH14" s="200"/>
      <c r="ZI14" s="200"/>
      <c r="ZJ14" s="103"/>
      <c r="ZK14" s="103"/>
      <c r="ZL14" s="201" t="s">
        <v>23</v>
      </c>
      <c r="ZM14" s="201"/>
      <c r="ZN14" s="201"/>
      <c r="ZO14" s="201"/>
      <c r="ZP14" s="128"/>
      <c r="ZQ14" s="128"/>
      <c r="ZR14" s="200" t="s">
        <v>34</v>
      </c>
      <c r="ZS14" s="200"/>
      <c r="ZT14" s="200"/>
      <c r="ZU14" s="200"/>
      <c r="ZV14" s="103"/>
      <c r="ZW14" s="103"/>
      <c r="ZX14" s="201" t="s">
        <v>24</v>
      </c>
      <c r="ZY14" s="201"/>
      <c r="ZZ14" s="201"/>
      <c r="AAA14" s="201"/>
      <c r="AAB14" s="128"/>
      <c r="AAC14" s="128"/>
      <c r="AAD14" s="200" t="s">
        <v>35</v>
      </c>
      <c r="AAE14" s="200"/>
      <c r="AAF14" s="200"/>
      <c r="AAG14" s="200"/>
      <c r="AAH14" s="103"/>
      <c r="AAI14" s="103"/>
      <c r="AAJ14" s="201" t="s">
        <v>25</v>
      </c>
      <c r="AAK14" s="201"/>
      <c r="AAL14" s="201"/>
      <c r="AAM14" s="201"/>
      <c r="AAN14" s="128"/>
      <c r="AAO14" s="128"/>
      <c r="AAP14" s="200" t="s">
        <v>36</v>
      </c>
      <c r="AAQ14" s="200"/>
      <c r="AAR14" s="200"/>
      <c r="AAS14" s="200"/>
      <c r="AAT14" s="103"/>
      <c r="AAU14" s="103"/>
      <c r="AAV14" s="103"/>
      <c r="AAW14" s="104"/>
      <c r="AAX14" s="102"/>
      <c r="AAY14" s="103"/>
      <c r="AAZ14" s="103"/>
      <c r="ABA14" s="103"/>
      <c r="ABB14" s="200" t="s">
        <v>32</v>
      </c>
      <c r="ABC14" s="200"/>
      <c r="ABD14" s="200"/>
      <c r="ABE14" s="200"/>
      <c r="ABF14" s="103"/>
      <c r="ABG14" s="103"/>
      <c r="ABH14" s="201" t="s">
        <v>22</v>
      </c>
      <c r="ABI14" s="201"/>
      <c r="ABJ14" s="201"/>
      <c r="ABK14" s="201"/>
      <c r="ABL14" s="128"/>
      <c r="ABM14" s="128"/>
      <c r="ABN14" s="200" t="s">
        <v>33</v>
      </c>
      <c r="ABO14" s="200"/>
      <c r="ABP14" s="200"/>
      <c r="ABQ14" s="200"/>
      <c r="ABR14" s="103"/>
      <c r="ABS14" s="103"/>
      <c r="ABT14" s="201" t="s">
        <v>23</v>
      </c>
      <c r="ABU14" s="201"/>
      <c r="ABV14" s="201"/>
      <c r="ABW14" s="201"/>
      <c r="ABX14" s="128"/>
      <c r="ABY14" s="128"/>
      <c r="ABZ14" s="200" t="s">
        <v>34</v>
      </c>
      <c r="ACA14" s="200"/>
      <c r="ACB14" s="200"/>
      <c r="ACC14" s="200"/>
      <c r="ACD14" s="103"/>
      <c r="ACE14" s="103"/>
      <c r="ACF14" s="201" t="s">
        <v>24</v>
      </c>
      <c r="ACG14" s="201"/>
      <c r="ACH14" s="201"/>
      <c r="ACI14" s="201"/>
      <c r="ACJ14" s="128"/>
      <c r="ACK14" s="128"/>
      <c r="ACL14" s="200" t="s">
        <v>35</v>
      </c>
      <c r="ACM14" s="200"/>
      <c r="ACN14" s="200"/>
      <c r="ACO14" s="200"/>
      <c r="ACP14" s="103"/>
      <c r="ACQ14" s="103"/>
      <c r="ACR14" s="201" t="s">
        <v>25</v>
      </c>
      <c r="ACS14" s="201"/>
      <c r="ACT14" s="201"/>
      <c r="ACU14" s="201"/>
      <c r="ACV14" s="128"/>
      <c r="ACW14" s="128"/>
      <c r="ACX14" s="200" t="s">
        <v>36</v>
      </c>
      <c r="ACY14" s="200"/>
      <c r="ACZ14" s="200"/>
      <c r="ADA14" s="200"/>
      <c r="ADB14" s="103"/>
      <c r="ADC14" s="103"/>
      <c r="ADD14" s="103"/>
      <c r="ADE14" s="104"/>
      <c r="ADF14" s="102"/>
      <c r="ADG14" s="103"/>
      <c r="ADH14" s="103"/>
      <c r="ADI14" s="103"/>
      <c r="ADJ14" s="200" t="s">
        <v>32</v>
      </c>
      <c r="ADK14" s="200"/>
      <c r="ADL14" s="200"/>
      <c r="ADM14" s="200"/>
      <c r="ADN14" s="103"/>
      <c r="ADO14" s="103"/>
      <c r="ADP14" s="201" t="s">
        <v>22</v>
      </c>
      <c r="ADQ14" s="201"/>
      <c r="ADR14" s="201"/>
      <c r="ADS14" s="201"/>
      <c r="ADT14" s="128"/>
      <c r="ADU14" s="128"/>
      <c r="ADV14" s="200" t="s">
        <v>33</v>
      </c>
      <c r="ADW14" s="200"/>
      <c r="ADX14" s="200"/>
      <c r="ADY14" s="200"/>
      <c r="ADZ14" s="103"/>
      <c r="AEA14" s="103"/>
      <c r="AEB14" s="201" t="s">
        <v>23</v>
      </c>
      <c r="AEC14" s="201"/>
      <c r="AED14" s="201"/>
      <c r="AEE14" s="201"/>
      <c r="AEF14" s="128"/>
      <c r="AEG14" s="128"/>
      <c r="AEH14" s="200" t="s">
        <v>34</v>
      </c>
      <c r="AEI14" s="200"/>
      <c r="AEJ14" s="200"/>
      <c r="AEK14" s="200"/>
      <c r="AEL14" s="103"/>
      <c r="AEM14" s="103"/>
      <c r="AEN14" s="201" t="s">
        <v>24</v>
      </c>
      <c r="AEO14" s="201"/>
      <c r="AEP14" s="201"/>
      <c r="AEQ14" s="201"/>
      <c r="AER14" s="128"/>
      <c r="AES14" s="128"/>
      <c r="AET14" s="200" t="s">
        <v>35</v>
      </c>
      <c r="AEU14" s="200"/>
      <c r="AEV14" s="200"/>
      <c r="AEW14" s="200"/>
      <c r="AEX14" s="103"/>
      <c r="AEY14" s="103"/>
      <c r="AEZ14" s="201" t="s">
        <v>25</v>
      </c>
      <c r="AFA14" s="201"/>
      <c r="AFB14" s="201"/>
      <c r="AFC14" s="201"/>
      <c r="AFD14" s="128"/>
      <c r="AFE14" s="128"/>
      <c r="AFF14" s="200" t="s">
        <v>36</v>
      </c>
      <c r="AFG14" s="200"/>
      <c r="AFH14" s="200"/>
      <c r="AFI14" s="200"/>
      <c r="AFJ14" s="103"/>
      <c r="AFK14" s="103"/>
      <c r="AFL14" s="103"/>
      <c r="AFM14" s="104"/>
      <c r="AFN14" s="102"/>
      <c r="AFO14" s="103"/>
      <c r="AFP14" s="103"/>
      <c r="AFQ14" s="103"/>
      <c r="AFR14" s="200" t="s">
        <v>32</v>
      </c>
      <c r="AFS14" s="200"/>
      <c r="AFT14" s="200"/>
      <c r="AFU14" s="200"/>
      <c r="AFV14" s="103"/>
      <c r="AFW14" s="103"/>
      <c r="AFX14" s="201" t="s">
        <v>22</v>
      </c>
      <c r="AFY14" s="201"/>
      <c r="AFZ14" s="201"/>
      <c r="AGA14" s="201"/>
      <c r="AGB14" s="128"/>
      <c r="AGC14" s="128"/>
      <c r="AGD14" s="200" t="s">
        <v>33</v>
      </c>
      <c r="AGE14" s="200"/>
      <c r="AGF14" s="200"/>
      <c r="AGG14" s="200"/>
      <c r="AGH14" s="103"/>
      <c r="AGI14" s="103"/>
      <c r="AGJ14" s="201" t="s">
        <v>23</v>
      </c>
      <c r="AGK14" s="201"/>
      <c r="AGL14" s="201"/>
      <c r="AGM14" s="201"/>
      <c r="AGN14" s="128"/>
      <c r="AGO14" s="128"/>
      <c r="AGP14" s="200" t="s">
        <v>34</v>
      </c>
      <c r="AGQ14" s="200"/>
      <c r="AGR14" s="200"/>
      <c r="AGS14" s="200"/>
      <c r="AGT14" s="103"/>
      <c r="AGU14" s="103"/>
      <c r="AGV14" s="201" t="s">
        <v>24</v>
      </c>
      <c r="AGW14" s="201"/>
      <c r="AGX14" s="201"/>
      <c r="AGY14" s="201"/>
      <c r="AGZ14" s="128"/>
      <c r="AHA14" s="128"/>
      <c r="AHB14" s="200" t="s">
        <v>35</v>
      </c>
      <c r="AHC14" s="200"/>
      <c r="AHD14" s="200"/>
      <c r="AHE14" s="200"/>
      <c r="AHF14" s="103"/>
      <c r="AHG14" s="103"/>
      <c r="AHH14" s="201" t="s">
        <v>25</v>
      </c>
      <c r="AHI14" s="201"/>
      <c r="AHJ14" s="201"/>
      <c r="AHK14" s="201"/>
      <c r="AHL14" s="128"/>
      <c r="AHM14" s="128"/>
      <c r="AHN14" s="200" t="s">
        <v>36</v>
      </c>
      <c r="AHO14" s="200"/>
      <c r="AHP14" s="200"/>
      <c r="AHQ14" s="200"/>
      <c r="AHR14" s="103"/>
      <c r="AHS14" s="103"/>
      <c r="AHT14" s="103"/>
      <c r="AHU14" s="104"/>
      <c r="AHV14" s="102"/>
      <c r="AHW14" s="103"/>
      <c r="AHX14" s="103"/>
      <c r="AHY14" s="103"/>
      <c r="AHZ14" s="200" t="s">
        <v>32</v>
      </c>
      <c r="AIA14" s="200"/>
      <c r="AIB14" s="200"/>
      <c r="AIC14" s="200"/>
      <c r="AID14" s="103"/>
      <c r="AIE14" s="103"/>
      <c r="AIF14" s="201" t="s">
        <v>22</v>
      </c>
      <c r="AIG14" s="201"/>
      <c r="AIH14" s="201"/>
      <c r="AII14" s="201"/>
      <c r="AIJ14" s="128"/>
      <c r="AIK14" s="128"/>
      <c r="AIL14" s="200" t="s">
        <v>33</v>
      </c>
      <c r="AIM14" s="200"/>
      <c r="AIN14" s="200"/>
      <c r="AIO14" s="200"/>
      <c r="AIP14" s="103"/>
      <c r="AIQ14" s="103"/>
      <c r="AIR14" s="201" t="s">
        <v>23</v>
      </c>
      <c r="AIS14" s="201"/>
      <c r="AIT14" s="201"/>
      <c r="AIU14" s="201"/>
      <c r="AIV14" s="128"/>
      <c r="AIW14" s="128"/>
      <c r="AIX14" s="200" t="s">
        <v>34</v>
      </c>
      <c r="AIY14" s="200"/>
      <c r="AIZ14" s="200"/>
      <c r="AJA14" s="200"/>
      <c r="AJB14" s="103"/>
      <c r="AJC14" s="103"/>
      <c r="AJD14" s="201" t="s">
        <v>24</v>
      </c>
      <c r="AJE14" s="201"/>
      <c r="AJF14" s="201"/>
      <c r="AJG14" s="201"/>
      <c r="AJH14" s="128"/>
      <c r="AJI14" s="128"/>
      <c r="AJJ14" s="200" t="s">
        <v>35</v>
      </c>
      <c r="AJK14" s="200"/>
      <c r="AJL14" s="200"/>
      <c r="AJM14" s="200"/>
      <c r="AJN14" s="103"/>
      <c r="AJO14" s="103"/>
      <c r="AJP14" s="201" t="s">
        <v>25</v>
      </c>
      <c r="AJQ14" s="201"/>
      <c r="AJR14" s="201"/>
      <c r="AJS14" s="201"/>
      <c r="AJT14" s="128"/>
      <c r="AJU14" s="128"/>
      <c r="AJV14" s="200" t="s">
        <v>36</v>
      </c>
      <c r="AJW14" s="200"/>
      <c r="AJX14" s="200"/>
      <c r="AJY14" s="200"/>
      <c r="AJZ14" s="103"/>
      <c r="AKA14" s="103"/>
      <c r="AKB14" s="103"/>
      <c r="AKC14" s="104"/>
      <c r="AKD14" s="102"/>
      <c r="AKE14" s="103"/>
      <c r="AKF14" s="103"/>
      <c r="AKG14" s="103"/>
      <c r="AKH14" s="200" t="s">
        <v>32</v>
      </c>
      <c r="AKI14" s="200"/>
      <c r="AKJ14" s="200"/>
      <c r="AKK14" s="200"/>
      <c r="AKL14" s="103"/>
      <c r="AKM14" s="103"/>
      <c r="AKN14" s="201" t="s">
        <v>22</v>
      </c>
      <c r="AKO14" s="201"/>
      <c r="AKP14" s="201"/>
      <c r="AKQ14" s="201"/>
      <c r="AKR14" s="128"/>
      <c r="AKS14" s="128"/>
      <c r="AKT14" s="200" t="s">
        <v>33</v>
      </c>
      <c r="AKU14" s="200"/>
      <c r="AKV14" s="200"/>
      <c r="AKW14" s="200"/>
      <c r="AKX14" s="103"/>
      <c r="AKY14" s="103"/>
      <c r="AKZ14" s="201" t="s">
        <v>23</v>
      </c>
      <c r="ALA14" s="201"/>
      <c r="ALB14" s="201"/>
      <c r="ALC14" s="201"/>
      <c r="ALD14" s="128"/>
      <c r="ALE14" s="128"/>
      <c r="ALF14" s="200" t="s">
        <v>34</v>
      </c>
      <c r="ALG14" s="200"/>
      <c r="ALH14" s="200"/>
      <c r="ALI14" s="200"/>
      <c r="ALJ14" s="103"/>
      <c r="ALK14" s="103"/>
      <c r="ALL14" s="201" t="s">
        <v>24</v>
      </c>
      <c r="ALM14" s="201"/>
      <c r="ALN14" s="201"/>
      <c r="ALO14" s="201"/>
      <c r="ALP14" s="128"/>
      <c r="ALQ14" s="128"/>
      <c r="ALR14" s="200" t="s">
        <v>35</v>
      </c>
      <c r="ALS14" s="200"/>
      <c r="ALT14" s="200"/>
      <c r="ALU14" s="200"/>
      <c r="ALV14" s="103"/>
      <c r="ALW14" s="103"/>
      <c r="ALX14" s="201" t="s">
        <v>25</v>
      </c>
      <c r="ALY14" s="201"/>
      <c r="ALZ14" s="201"/>
      <c r="AMA14" s="201"/>
      <c r="AMB14" s="128"/>
      <c r="AMC14" s="128"/>
      <c r="AMD14" s="200" t="s">
        <v>36</v>
      </c>
      <c r="AME14" s="200"/>
      <c r="AMF14" s="200"/>
      <c r="AMG14" s="200"/>
      <c r="AMH14" s="103"/>
      <c r="AMI14" s="103"/>
      <c r="AMJ14" s="103"/>
      <c r="AMK14" s="104"/>
      <c r="AML14" s="102"/>
      <c r="AMM14" s="103"/>
      <c r="AMN14" s="103"/>
      <c r="AMO14" s="103"/>
      <c r="AMP14" s="200" t="s">
        <v>32</v>
      </c>
      <c r="AMQ14" s="200"/>
      <c r="AMR14" s="200"/>
      <c r="AMS14" s="200"/>
      <c r="AMT14" s="103"/>
      <c r="AMU14" s="103"/>
      <c r="AMV14" s="201" t="s">
        <v>22</v>
      </c>
      <c r="AMW14" s="201"/>
      <c r="AMX14" s="201"/>
      <c r="AMY14" s="201"/>
      <c r="AMZ14" s="128"/>
      <c r="ANA14" s="128"/>
      <c r="ANB14" s="200" t="s">
        <v>33</v>
      </c>
      <c r="ANC14" s="200"/>
      <c r="AND14" s="200"/>
      <c r="ANE14" s="200"/>
      <c r="ANF14" s="103"/>
      <c r="ANG14" s="103"/>
      <c r="ANH14" s="201" t="s">
        <v>23</v>
      </c>
      <c r="ANI14" s="201"/>
      <c r="ANJ14" s="201"/>
      <c r="ANK14" s="201"/>
      <c r="ANL14" s="128"/>
      <c r="ANM14" s="128"/>
      <c r="ANN14" s="200" t="s">
        <v>34</v>
      </c>
      <c r="ANO14" s="200"/>
      <c r="ANP14" s="200"/>
      <c r="ANQ14" s="200"/>
      <c r="ANR14" s="103"/>
      <c r="ANS14" s="103"/>
      <c r="ANT14" s="201" t="s">
        <v>24</v>
      </c>
      <c r="ANU14" s="201"/>
      <c r="ANV14" s="201"/>
      <c r="ANW14" s="201"/>
      <c r="ANX14" s="128"/>
      <c r="ANY14" s="128"/>
      <c r="ANZ14" s="200" t="s">
        <v>35</v>
      </c>
      <c r="AOA14" s="200"/>
      <c r="AOB14" s="200"/>
      <c r="AOC14" s="200"/>
      <c r="AOD14" s="103"/>
      <c r="AOE14" s="103"/>
      <c r="AOF14" s="201" t="s">
        <v>25</v>
      </c>
      <c r="AOG14" s="201"/>
      <c r="AOH14" s="201"/>
      <c r="AOI14" s="201"/>
      <c r="AOJ14" s="128"/>
      <c r="AOK14" s="128"/>
      <c r="AOL14" s="200" t="s">
        <v>36</v>
      </c>
      <c r="AOM14" s="200"/>
      <c r="AON14" s="200"/>
      <c r="AOO14" s="200"/>
      <c r="AOP14" s="103"/>
      <c r="AOQ14" s="103"/>
      <c r="AOR14" s="103"/>
      <c r="AOS14" s="104"/>
      <c r="AOT14" s="89"/>
    </row>
    <row r="15" spans="1:1086" ht="20.100000000000001" customHeight="1">
      <c r="A15" s="99" t="s">
        <v>18</v>
      </c>
      <c r="B15" s="62" t="str">
        <f>IF(LEN(C15)=0,"",C15)</f>
        <v>Absences - imprévus -Séances</v>
      </c>
      <c r="C15" s="210"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11"/>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10" t="s">
        <v>15</v>
      </c>
      <c r="D17" s="145" t="str">
        <f t="shared" si="0"/>
        <v>0h</v>
      </c>
      <c r="E17" s="30">
        <v>0</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31"/>
      <c r="DW17" s="63"/>
      <c r="DX17" s="63"/>
      <c r="DY17" s="63"/>
      <c r="DZ17" s="32"/>
      <c r="EA17" s="131"/>
      <c r="EB17" s="32"/>
      <c r="EC17" s="32"/>
      <c r="ED17" s="32"/>
      <c r="EE17" s="32"/>
      <c r="EF17" s="32"/>
      <c r="EG17" s="136"/>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32"/>
      <c r="FM17" s="32"/>
      <c r="FN17" s="32"/>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63"/>
      <c r="HL17" s="32"/>
      <c r="HM17" s="136"/>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63"/>
      <c r="MB17" s="32"/>
      <c r="MC17" s="136"/>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11"/>
      <c r="D18" s="147" t="str">
        <f t="shared" si="0"/>
        <v>0h15min</v>
      </c>
      <c r="E18" s="34">
        <v>3</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64"/>
      <c r="HL18" s="36"/>
      <c r="HM18" s="137"/>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64"/>
      <c r="JT18" s="36"/>
      <c r="JU18" s="137"/>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64"/>
      <c r="MB18" s="36"/>
      <c r="MC18" s="137"/>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10" t="s">
        <v>50</v>
      </c>
      <c r="D19" s="145" t="str">
        <f t="shared" si="0"/>
        <v>0h</v>
      </c>
      <c r="E19" s="38">
        <v>0</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40"/>
      <c r="EI19" s="40"/>
      <c r="EJ19" s="40"/>
      <c r="EK19" s="40"/>
      <c r="EL19" s="40"/>
      <c r="EM19" s="75"/>
      <c r="EN19" s="40"/>
      <c r="EO19" s="40"/>
      <c r="EP19" s="40"/>
      <c r="EQ19" s="40"/>
      <c r="ER19" s="40"/>
      <c r="ES19" s="138"/>
      <c r="ET19" s="40"/>
      <c r="EU19" s="40"/>
      <c r="EV19" s="40"/>
      <c r="EW19" s="40"/>
      <c r="EX19" s="40"/>
      <c r="EY19" s="75"/>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39"/>
      <c r="GE19" s="65"/>
      <c r="GF19" s="65"/>
      <c r="GG19" s="65"/>
      <c r="GH19" s="40"/>
      <c r="GI19" s="133"/>
      <c r="GJ19" s="40"/>
      <c r="GK19" s="40"/>
      <c r="GL19" s="40"/>
      <c r="GM19" s="40"/>
      <c r="GN19" s="40"/>
      <c r="GO19" s="138"/>
      <c r="GP19" s="40"/>
      <c r="GQ19" s="40"/>
      <c r="GR19" s="40"/>
      <c r="GS19" s="40"/>
      <c r="GT19" s="40"/>
      <c r="GU19" s="75"/>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12"/>
      <c r="D20" s="146" t="str">
        <f t="shared" si="0"/>
        <v>0h</v>
      </c>
      <c r="E20" s="26">
        <v>0</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66"/>
      <c r="DZ20" s="28"/>
      <c r="EA20" s="130"/>
      <c r="EB20" s="28"/>
      <c r="EC20" s="28"/>
      <c r="ED20" s="28"/>
      <c r="EE20" s="28"/>
      <c r="EF20" s="28"/>
      <c r="EG20" s="135"/>
      <c r="EH20" s="28"/>
      <c r="EI20" s="28"/>
      <c r="EJ20" s="28"/>
      <c r="EK20" s="28"/>
      <c r="EL20" s="28"/>
      <c r="EM20" s="74"/>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10" t="s">
        <v>52</v>
      </c>
      <c r="D21" s="145" t="str">
        <f t="shared" si="0"/>
        <v>0h</v>
      </c>
      <c r="E21" s="30">
        <v>0</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63"/>
      <c r="FA21" s="63"/>
      <c r="FB21" s="63"/>
      <c r="FC21" s="63"/>
      <c r="FD21" s="32"/>
      <c r="FE21" s="136"/>
      <c r="FF21" s="32"/>
      <c r="FG21" s="32"/>
      <c r="FH21" s="32"/>
      <c r="FI21" s="32"/>
      <c r="FJ21" s="32"/>
      <c r="FK21" s="73"/>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12"/>
      <c r="D22" s="146" t="str">
        <f t="shared" si="0"/>
        <v>0h</v>
      </c>
      <c r="E22" s="34">
        <v>0</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36"/>
      <c r="EO22" s="36"/>
      <c r="EP22" s="36"/>
      <c r="EQ22" s="36"/>
      <c r="ER22" s="36"/>
      <c r="ES22" s="137"/>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10"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11"/>
      <c r="D24" s="146" t="str">
        <f t="shared" si="0"/>
        <v>0h45min</v>
      </c>
      <c r="E24" s="26">
        <v>9</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27"/>
      <c r="DW24" s="66"/>
      <c r="DX24" s="66"/>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10"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12"/>
      <c r="D26" s="147" t="str">
        <f t="shared" si="0"/>
        <v>0h</v>
      </c>
      <c r="E26" s="34">
        <v>0</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35"/>
      <c r="KU26" s="64"/>
      <c r="KV26" s="64"/>
      <c r="KW26" s="64"/>
      <c r="KX26" s="36"/>
      <c r="KY26" s="132"/>
      <c r="KZ26" s="36"/>
      <c r="LA26" s="36"/>
      <c r="LB26" s="36"/>
      <c r="LC26" s="36"/>
      <c r="LD26" s="36"/>
      <c r="LE26" s="137"/>
      <c r="LF26" s="36"/>
      <c r="LG26" s="36"/>
      <c r="LH26" s="36"/>
      <c r="LI26" s="36"/>
      <c r="LJ26" s="36"/>
      <c r="LK26" s="74"/>
      <c r="LL26" s="36"/>
      <c r="LM26" s="36"/>
      <c r="LN26" s="36"/>
      <c r="LO26" s="36"/>
      <c r="LP26" s="36"/>
      <c r="LQ26" s="137"/>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10" t="s">
        <v>58</v>
      </c>
      <c r="D27" s="145" t="str">
        <f t="shared" si="0"/>
        <v>4h</v>
      </c>
      <c r="E27" s="38">
        <v>48</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40"/>
      <c r="GW27" s="40"/>
      <c r="GX27" s="40"/>
      <c r="GY27" s="40"/>
      <c r="GZ27" s="40"/>
      <c r="HA27" s="138"/>
      <c r="HB27" s="40"/>
      <c r="HC27" s="40"/>
      <c r="HD27" s="40"/>
      <c r="HE27" s="40"/>
      <c r="HF27" s="40"/>
      <c r="HG27" s="75"/>
      <c r="HH27" s="65"/>
      <c r="HI27" s="65"/>
      <c r="HJ27" s="65"/>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39"/>
      <c r="IM27" s="65"/>
      <c r="IN27" s="65"/>
      <c r="IO27" s="65"/>
      <c r="IP27" s="40"/>
      <c r="IQ27" s="133"/>
      <c r="IR27" s="40"/>
      <c r="IS27" s="40"/>
      <c r="IT27" s="40"/>
      <c r="IU27" s="40"/>
      <c r="IV27" s="40"/>
      <c r="IW27" s="138"/>
      <c r="IX27" s="40"/>
      <c r="IY27" s="40"/>
      <c r="IZ27" s="40"/>
      <c r="JA27" s="40"/>
      <c r="JB27" s="40"/>
      <c r="JC27" s="75"/>
      <c r="JD27" s="40"/>
      <c r="JE27" s="40"/>
      <c r="JF27" s="40"/>
      <c r="JG27" s="40"/>
      <c r="JH27" s="40"/>
      <c r="JI27" s="138"/>
      <c r="JJ27" s="40"/>
      <c r="JK27" s="40"/>
      <c r="JL27" s="40"/>
      <c r="JM27" s="40"/>
      <c r="JN27" s="40"/>
      <c r="JO27" s="75"/>
      <c r="JP27" s="65"/>
      <c r="JQ27" s="65"/>
      <c r="JR27" s="65"/>
      <c r="JS27" s="65"/>
      <c r="JT27" s="40"/>
      <c r="JU27" s="138"/>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39"/>
      <c r="KU27" s="65"/>
      <c r="KV27" s="65"/>
      <c r="KW27" s="65"/>
      <c r="KX27" s="40"/>
      <c r="KY27" s="133"/>
      <c r="KZ27" s="40"/>
      <c r="LA27" s="40"/>
      <c r="LB27" s="40"/>
      <c r="LC27" s="40"/>
      <c r="LD27" s="40"/>
      <c r="LE27" s="138"/>
      <c r="LF27" s="40"/>
      <c r="LG27" s="40"/>
      <c r="LH27" s="40"/>
      <c r="LI27" s="40"/>
      <c r="LJ27" s="40"/>
      <c r="LK27" s="75"/>
      <c r="LL27" s="40"/>
      <c r="LM27" s="40"/>
      <c r="LN27" s="40"/>
      <c r="LO27" s="40"/>
      <c r="LP27" s="40"/>
      <c r="LQ27" s="138"/>
      <c r="LR27" s="40"/>
      <c r="LS27" s="40"/>
      <c r="LT27" s="40"/>
      <c r="LU27" s="40"/>
      <c r="LV27" s="40"/>
      <c r="LW27" s="75"/>
      <c r="LX27" s="65"/>
      <c r="LY27" s="65"/>
      <c r="LZ27" s="65"/>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12"/>
      <c r="D28" s="147" t="str">
        <f t="shared" si="0"/>
        <v>4h15min</v>
      </c>
      <c r="E28" s="26">
        <v>51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28"/>
      <c r="EU28" s="28"/>
      <c r="EV28" s="28"/>
      <c r="EW28" s="28"/>
      <c r="EX28" s="28"/>
      <c r="EY28" s="72"/>
      <c r="EZ28" s="66"/>
      <c r="FA28" s="66"/>
      <c r="FB28" s="66"/>
      <c r="FC28" s="66"/>
      <c r="FD28" s="28"/>
      <c r="FE28" s="13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27"/>
      <c r="GE28" s="66"/>
      <c r="GF28" s="66"/>
      <c r="GG28" s="66"/>
      <c r="GH28" s="28"/>
      <c r="GI28" s="130"/>
      <c r="GJ28" s="28"/>
      <c r="GK28" s="28"/>
      <c r="GL28" s="28"/>
      <c r="GM28" s="28"/>
      <c r="GN28" s="28"/>
      <c r="GO28" s="135"/>
      <c r="GP28" s="28"/>
      <c r="GQ28" s="28"/>
      <c r="GR28" s="28"/>
      <c r="GS28" s="28"/>
      <c r="GT28" s="28"/>
      <c r="GU28" s="72"/>
      <c r="GV28" s="28"/>
      <c r="GW28" s="28"/>
      <c r="GX28" s="28"/>
      <c r="GY28" s="28"/>
      <c r="GZ28" s="28"/>
      <c r="HA28" s="135"/>
      <c r="HB28" s="28"/>
      <c r="HC28" s="28"/>
      <c r="HD28" s="28"/>
      <c r="HE28" s="28"/>
      <c r="HF28" s="28"/>
      <c r="HG28" s="72"/>
      <c r="HH28" s="66"/>
      <c r="HI28" s="66"/>
      <c r="HJ28" s="66"/>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27"/>
      <c r="IM28" s="66"/>
      <c r="IN28" s="66"/>
      <c r="IO28" s="66"/>
      <c r="IP28" s="28"/>
      <c r="IQ28" s="130"/>
      <c r="IR28" s="28"/>
      <c r="IS28" s="28"/>
      <c r="IT28" s="28"/>
      <c r="IU28" s="28"/>
      <c r="IV28" s="28"/>
      <c r="IW28" s="135"/>
      <c r="IX28" s="28"/>
      <c r="IY28" s="28"/>
      <c r="IZ28" s="28"/>
      <c r="JA28" s="28"/>
      <c r="JB28" s="28"/>
      <c r="JC28" s="72"/>
      <c r="JD28" s="28"/>
      <c r="JE28" s="28"/>
      <c r="JF28" s="28"/>
      <c r="JG28" s="28"/>
      <c r="JH28" s="28"/>
      <c r="JI28" s="135"/>
      <c r="JJ28" s="28"/>
      <c r="JK28" s="28"/>
      <c r="JL28" s="28"/>
      <c r="JM28" s="28"/>
      <c r="JN28" s="28"/>
      <c r="JO28" s="72"/>
      <c r="JP28" s="66"/>
      <c r="JQ28" s="66"/>
      <c r="JR28" s="66"/>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10"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
      </c>
      <c r="C30" s="212"/>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
      </c>
      <c r="C31" s="210"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12"/>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10"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10"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10"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10"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12"/>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10"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10"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12"/>
      <c r="D44" s="147" t="str">
        <f t="shared" si="0"/>
        <v>0h</v>
      </c>
      <c r="E44" s="34">
        <v>0</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36"/>
      <c r="LS44" s="36"/>
      <c r="LT44" s="36"/>
      <c r="LU44" s="36"/>
      <c r="LV44" s="36"/>
      <c r="LW44" s="74"/>
      <c r="LX44" s="64"/>
      <c r="LY44" s="64"/>
      <c r="LZ44" s="64"/>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10"/>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10"/>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12"/>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10"/>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11"/>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10"/>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10"/>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11"/>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10"/>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10"/>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11"/>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10"/>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11"/>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10"/>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10"/>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11"/>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10"/>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11"/>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10"/>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10"/>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11"/>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10"/>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10"/>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11"/>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10"/>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11"/>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10"/>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10"/>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11"/>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10"/>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11"/>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10"/>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10"/>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11"/>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10"/>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10"/>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11"/>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10"/>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11"/>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10"/>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02" t="s">
        <v>8</v>
      </c>
      <c r="D95" s="203"/>
      <c r="E95" s="116">
        <f>SUM(E15,E17,E19,E21,E23,E25,E27,E29,E31,E33,E35,E37,E39,E41,E43,E45,E47,E49,E51,E53,E55,E57,E59,E61,E63,E65,E67,E69,E71,E73,E75,E77,E79,E81,E83,E85,E87,E89,E91,E93)</f>
        <v>102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04"/>
      <c r="D96" s="205"/>
      <c r="E96" s="122" t="str">
        <f xml:space="preserve"> setValueToTime(E95)</f>
        <v>8h30min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06" t="s">
        <v>9</v>
      </c>
      <c r="D97" s="207"/>
      <c r="E97" s="117">
        <f>SUM(E16,E18,E20,E22,E24,E26,E28,E30,E32,E34,E36,E38,E40,E42,E44,E46,E48,E50,E52,E54,E56,E58,E60,E62,E64,E66,E68,E70,E72,E74,E76,E78,E80,E82,E84,E86,E88,E90,E92,E94)</f>
        <v>87</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08"/>
      <c r="D98" s="209"/>
      <c r="E98" s="121" t="str">
        <f xml:space="preserve"> setValueToTime(E97)</f>
        <v>7h15min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73"/>
  <sheetViews>
    <sheetView showGridLines="0" zoomScaleNormal="100" zoomScaleSheetLayoutView="98" workbookViewId="0">
      <pane ySplit="1" topLeftCell="A59" activePane="bottomLeft" state="frozen"/>
      <selection activeCell="BC13" sqref="BC13"/>
      <selection pane="bottomLeft" activeCell="G73" sqref="G7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6</v>
      </c>
      <c r="C2" s="162"/>
      <c r="D2" s="81" t="s">
        <v>14</v>
      </c>
      <c r="E2" s="93">
        <v>44225</v>
      </c>
      <c r="F2" s="125" t="s">
        <v>94</v>
      </c>
      <c r="G2" s="45"/>
    </row>
    <row r="3" spans="1:7" s="46" customFormat="1" ht="30" customHeight="1" thickBot="1">
      <c r="A3" s="79" t="s">
        <v>4</v>
      </c>
      <c r="B3" s="149" t="s">
        <v>38</v>
      </c>
      <c r="C3" s="150"/>
      <c r="D3" s="79" t="s">
        <v>12</v>
      </c>
      <c r="E3" s="232" t="s">
        <v>13</v>
      </c>
      <c r="F3" s="233"/>
      <c r="G3" s="45"/>
    </row>
    <row r="4" spans="1:7" s="51" customFormat="1">
      <c r="A4" s="47" t="s">
        <v>58</v>
      </c>
      <c r="B4" s="48">
        <v>33</v>
      </c>
      <c r="C4" s="151" t="str">
        <f xml:space="preserve"> IF(B4="","",setValueToTime(B4))</f>
        <v>2h45min</v>
      </c>
      <c r="D4" s="165" t="s">
        <v>99</v>
      </c>
      <c r="E4" s="234"/>
      <c r="F4" s="235"/>
      <c r="G4" s="50"/>
    </row>
    <row r="5" spans="1:7" s="51" customFormat="1">
      <c r="A5" s="52" t="s">
        <v>15</v>
      </c>
      <c r="B5" s="53">
        <v>3</v>
      </c>
      <c r="C5" s="152" t="str">
        <f t="shared" ref="C5:C11" si="0" xml:space="preserve"> IF(B5="","",setValueToTime(B5))</f>
        <v>0h15min</v>
      </c>
      <c r="D5" s="166" t="s">
        <v>97</v>
      </c>
      <c r="E5" s="226"/>
      <c r="F5" s="227"/>
      <c r="G5" s="50"/>
    </row>
    <row r="6" spans="1:7" s="51" customFormat="1">
      <c r="A6" s="52"/>
      <c r="B6" s="53"/>
      <c r="C6" s="152" t="str">
        <f t="shared" si="0"/>
        <v/>
      </c>
      <c r="D6" s="54"/>
      <c r="E6" s="226"/>
      <c r="F6" s="227"/>
      <c r="G6" s="50"/>
    </row>
    <row r="7" spans="1:7" s="51" customFormat="1">
      <c r="A7" s="52"/>
      <c r="B7" s="53"/>
      <c r="C7" s="152"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c r="A10" s="53"/>
      <c r="B10" s="53"/>
      <c r="C10" s="153" t="str">
        <f t="shared" si="0"/>
        <v/>
      </c>
      <c r="D10" s="54"/>
      <c r="E10" s="226"/>
      <c r="F10" s="227"/>
      <c r="G10" s="50"/>
    </row>
    <row r="11" spans="1:7" s="51" customFormat="1" ht="15" thickBot="1">
      <c r="A11" s="55"/>
      <c r="B11" s="55"/>
      <c r="C11" s="154" t="str">
        <f t="shared" si="0"/>
        <v/>
      </c>
      <c r="D11" s="56"/>
      <c r="E11" s="228"/>
      <c r="F11" s="229"/>
      <c r="G11" s="50"/>
    </row>
    <row r="12" spans="1:7" s="51" customFormat="1" ht="15" thickBot="1">
      <c r="A12" s="110" t="s">
        <v>27</v>
      </c>
      <c r="B12" s="83">
        <f>SUM(B4:B11)</f>
        <v>36</v>
      </c>
      <c r="C12" s="110" t="str">
        <f xml:space="preserve"> setValueToTime(B12)</f>
        <v>3h</v>
      </c>
      <c r="D12" s="119"/>
      <c r="E12" s="230"/>
      <c r="F12" s="231"/>
      <c r="G12" s="50"/>
    </row>
    <row r="13" spans="1:7" s="58" customFormat="1" ht="15" thickBot="1">
      <c r="A13" s="78"/>
      <c r="B13" s="78"/>
      <c r="C13" s="78"/>
      <c r="D13" s="78"/>
      <c r="E13" s="78"/>
      <c r="F13" s="78"/>
      <c r="G13" s="57"/>
    </row>
    <row r="14" spans="1:7" s="46" customFormat="1" ht="30" customHeight="1" thickBot="1">
      <c r="A14" s="80" t="s">
        <v>11</v>
      </c>
      <c r="B14" s="162">
        <v>5</v>
      </c>
      <c r="C14" s="162"/>
      <c r="D14" s="81" t="s">
        <v>14</v>
      </c>
      <c r="E14" s="93">
        <v>44225</v>
      </c>
      <c r="F14" s="125" t="s">
        <v>89</v>
      </c>
      <c r="G14" s="45"/>
    </row>
    <row r="15" spans="1:7" s="46" customFormat="1" ht="30" customHeight="1" thickBot="1">
      <c r="A15" s="79" t="s">
        <v>4</v>
      </c>
      <c r="B15" s="149" t="s">
        <v>38</v>
      </c>
      <c r="C15" s="150"/>
      <c r="D15" s="79" t="s">
        <v>12</v>
      </c>
      <c r="E15" s="232" t="s">
        <v>13</v>
      </c>
      <c r="F15" s="233"/>
      <c r="G15" s="45"/>
    </row>
    <row r="16" spans="1:7" s="51" customFormat="1">
      <c r="A16" s="47" t="s">
        <v>58</v>
      </c>
      <c r="B16" s="48">
        <v>36</v>
      </c>
      <c r="C16" s="151" t="str">
        <f xml:space="preserve"> IF(B16="","",setValueToTime(B16))</f>
        <v>3h</v>
      </c>
      <c r="D16" s="165" t="s">
        <v>98</v>
      </c>
      <c r="E16" s="234"/>
      <c r="F16" s="235"/>
      <c r="G16" s="50"/>
    </row>
    <row r="17" spans="1:7" s="51" customFormat="1">
      <c r="A17" s="52"/>
      <c r="B17" s="53"/>
      <c r="C17" s="152" t="str">
        <f t="shared" ref="C17:C23" si="1" xml:space="preserve"> IF(B17="","",setValueToTime(B17))</f>
        <v/>
      </c>
      <c r="D17" s="54"/>
      <c r="E17" s="226"/>
      <c r="F17" s="227"/>
      <c r="G17" s="50"/>
    </row>
    <row r="18" spans="1:7" s="51" customFormat="1">
      <c r="A18" s="52"/>
      <c r="B18" s="53"/>
      <c r="C18" s="152" t="str">
        <f t="shared" si="1"/>
        <v/>
      </c>
      <c r="D18" s="54"/>
      <c r="E18" s="226"/>
      <c r="F18" s="227"/>
      <c r="G18" s="50"/>
    </row>
    <row r="19" spans="1:7" s="51" customFormat="1">
      <c r="A19" s="52"/>
      <c r="B19" s="53"/>
      <c r="C19" s="152" t="str">
        <f t="shared" si="1"/>
        <v/>
      </c>
      <c r="D19" s="54"/>
      <c r="E19" s="226"/>
      <c r="F19" s="227"/>
      <c r="G19" s="50"/>
    </row>
    <row r="20" spans="1:7" s="51" customFormat="1">
      <c r="A20" s="53"/>
      <c r="B20" s="53"/>
      <c r="C20" s="153" t="str">
        <f t="shared" si="1"/>
        <v/>
      </c>
      <c r="D20" s="54"/>
      <c r="E20" s="226"/>
      <c r="F20" s="227"/>
      <c r="G20" s="50"/>
    </row>
    <row r="21" spans="1:7" s="51" customFormat="1">
      <c r="A21" s="53"/>
      <c r="B21" s="53"/>
      <c r="C21" s="153" t="str">
        <f t="shared" si="1"/>
        <v/>
      </c>
      <c r="D21" s="54"/>
      <c r="E21" s="226"/>
      <c r="F21" s="227"/>
      <c r="G21" s="50"/>
    </row>
    <row r="22" spans="1:7" s="51" customFormat="1">
      <c r="A22" s="53"/>
      <c r="B22" s="53"/>
      <c r="C22" s="153" t="str">
        <f t="shared" si="1"/>
        <v/>
      </c>
      <c r="D22" s="54"/>
      <c r="E22" s="226"/>
      <c r="F22" s="227"/>
      <c r="G22" s="50"/>
    </row>
    <row r="23" spans="1:7" s="51" customFormat="1" ht="15" thickBot="1">
      <c r="A23" s="55"/>
      <c r="B23" s="55"/>
      <c r="C23" s="154" t="str">
        <f t="shared" si="1"/>
        <v/>
      </c>
      <c r="D23" s="56"/>
      <c r="E23" s="228"/>
      <c r="F23" s="229"/>
      <c r="G23" s="50"/>
    </row>
    <row r="24" spans="1:7" s="51" customFormat="1" ht="15" thickBot="1">
      <c r="A24" s="110" t="s">
        <v>27</v>
      </c>
      <c r="B24" s="83">
        <f>SUM(B16:B23)</f>
        <v>36</v>
      </c>
      <c r="C24" s="110" t="str">
        <f xml:space="preserve"> setValueToTime(B24)</f>
        <v>3h</v>
      </c>
      <c r="D24" s="119"/>
      <c r="E24" s="230"/>
      <c r="F24" s="231"/>
      <c r="G24" s="50"/>
    </row>
    <row r="25" spans="1:7" s="58" customFormat="1" ht="15" thickBot="1">
      <c r="A25" s="78"/>
      <c r="B25" s="78"/>
      <c r="C25" s="78"/>
      <c r="D25" s="78"/>
      <c r="E25" s="78"/>
      <c r="F25" s="78"/>
      <c r="G25" s="57"/>
    </row>
    <row r="26" spans="1:7" s="46" customFormat="1" ht="30" customHeight="1" thickBot="1">
      <c r="A26" s="80" t="s">
        <v>11</v>
      </c>
      <c r="B26" s="162">
        <v>4</v>
      </c>
      <c r="C26" s="162"/>
      <c r="D26" s="81" t="s">
        <v>14</v>
      </c>
      <c r="E26" s="93">
        <v>44224</v>
      </c>
      <c r="F26" s="125" t="s">
        <v>94</v>
      </c>
      <c r="G26" s="45"/>
    </row>
    <row r="27" spans="1:7" s="46" customFormat="1" ht="30" customHeight="1" thickBot="1">
      <c r="A27" s="79" t="s">
        <v>4</v>
      </c>
      <c r="B27" s="149" t="s">
        <v>38</v>
      </c>
      <c r="C27" s="150"/>
      <c r="D27" s="79" t="s">
        <v>12</v>
      </c>
      <c r="E27" s="232" t="s">
        <v>13</v>
      </c>
      <c r="F27" s="233"/>
      <c r="G27" s="45"/>
    </row>
    <row r="28" spans="1:7" s="51" customFormat="1">
      <c r="A28" s="47" t="s">
        <v>50</v>
      </c>
      <c r="B28" s="48">
        <v>18</v>
      </c>
      <c r="C28" s="151" t="str">
        <f xml:space="preserve"> IF(B28="","",setValueToTime(B28))</f>
        <v>1h30min</v>
      </c>
      <c r="D28" s="165" t="s">
        <v>95</v>
      </c>
      <c r="E28" s="234"/>
      <c r="F28" s="235"/>
      <c r="G28" s="50"/>
    </row>
    <row r="29" spans="1:7" s="51" customFormat="1">
      <c r="A29" s="52" t="s">
        <v>58</v>
      </c>
      <c r="B29" s="53">
        <v>15</v>
      </c>
      <c r="C29" s="152" t="str">
        <f t="shared" ref="C29:C35" si="2" xml:space="preserve"> IF(B29="","",setValueToTime(B29))</f>
        <v>1h15min</v>
      </c>
      <c r="D29" s="166" t="s">
        <v>96</v>
      </c>
      <c r="E29" s="226"/>
      <c r="F29" s="227"/>
      <c r="G29" s="50"/>
    </row>
    <row r="30" spans="1:7" s="51" customFormat="1">
      <c r="A30" s="52" t="s">
        <v>15</v>
      </c>
      <c r="B30" s="53">
        <v>3</v>
      </c>
      <c r="C30" s="152" t="str">
        <f t="shared" si="2"/>
        <v>0h15min</v>
      </c>
      <c r="D30" s="166" t="s">
        <v>97</v>
      </c>
      <c r="E30" s="226"/>
      <c r="F30" s="227"/>
      <c r="G30" s="50"/>
    </row>
    <row r="31" spans="1:7" s="51" customFormat="1">
      <c r="A31" s="52"/>
      <c r="B31" s="53"/>
      <c r="C31" s="152" t="str">
        <f t="shared" si="2"/>
        <v/>
      </c>
      <c r="D31" s="54"/>
      <c r="E31" s="226"/>
      <c r="F31" s="227"/>
      <c r="G31" s="50"/>
    </row>
    <row r="32" spans="1:7" s="51" customFormat="1">
      <c r="A32" s="53"/>
      <c r="B32" s="53"/>
      <c r="C32" s="153" t="str">
        <f t="shared" si="2"/>
        <v/>
      </c>
      <c r="D32" s="54"/>
      <c r="E32" s="226"/>
      <c r="F32" s="227"/>
      <c r="G32" s="50"/>
    </row>
    <row r="33" spans="1:7" s="51" customFormat="1">
      <c r="A33" s="53"/>
      <c r="B33" s="53"/>
      <c r="C33" s="153" t="str">
        <f t="shared" si="2"/>
        <v/>
      </c>
      <c r="D33" s="54"/>
      <c r="E33" s="226"/>
      <c r="F33" s="227"/>
      <c r="G33" s="50"/>
    </row>
    <row r="34" spans="1:7" s="51" customFormat="1">
      <c r="A34" s="53"/>
      <c r="B34" s="53"/>
      <c r="C34" s="153" t="str">
        <f t="shared" si="2"/>
        <v/>
      </c>
      <c r="D34" s="54"/>
      <c r="E34" s="226"/>
      <c r="F34" s="227"/>
      <c r="G34" s="50"/>
    </row>
    <row r="35" spans="1:7" s="51" customFormat="1" ht="15" thickBot="1">
      <c r="A35" s="55"/>
      <c r="B35" s="55"/>
      <c r="C35" s="154" t="str">
        <f t="shared" si="2"/>
        <v/>
      </c>
      <c r="D35" s="56"/>
      <c r="E35" s="228"/>
      <c r="F35" s="229"/>
      <c r="G35" s="50"/>
    </row>
    <row r="36" spans="1:7" s="51" customFormat="1" ht="15" thickBot="1">
      <c r="A36" s="110" t="s">
        <v>27</v>
      </c>
      <c r="B36" s="83">
        <f>SUM(B28:B35)</f>
        <v>36</v>
      </c>
      <c r="C36" s="110" t="str">
        <f xml:space="preserve"> setValueToTime(B36)</f>
        <v>3h</v>
      </c>
      <c r="D36" s="119"/>
      <c r="E36" s="230"/>
      <c r="F36" s="231"/>
      <c r="G36" s="50"/>
    </row>
    <row r="37" spans="1:7" s="58" customFormat="1" ht="15" thickBot="1">
      <c r="A37" s="78"/>
      <c r="B37" s="78"/>
      <c r="C37" s="78"/>
      <c r="D37" s="78"/>
      <c r="E37" s="78"/>
      <c r="F37" s="78"/>
      <c r="G37" s="57"/>
    </row>
    <row r="38" spans="1:7" s="46" customFormat="1" ht="30" customHeight="1" thickBot="1">
      <c r="A38" s="80" t="s">
        <v>11</v>
      </c>
      <c r="B38" s="162">
        <v>3</v>
      </c>
      <c r="C38" s="162"/>
      <c r="D38" s="81" t="s">
        <v>14</v>
      </c>
      <c r="E38" s="93">
        <v>44224</v>
      </c>
      <c r="F38" s="125" t="s">
        <v>89</v>
      </c>
      <c r="G38" s="45"/>
    </row>
    <row r="39" spans="1:7" s="46" customFormat="1" ht="30" customHeight="1" thickBot="1">
      <c r="A39" s="79" t="s">
        <v>4</v>
      </c>
      <c r="B39" s="149" t="s">
        <v>38</v>
      </c>
      <c r="C39" s="150"/>
      <c r="D39" s="79" t="s">
        <v>12</v>
      </c>
      <c r="E39" s="232" t="s">
        <v>13</v>
      </c>
      <c r="F39" s="233"/>
      <c r="G39" s="45"/>
    </row>
    <row r="40" spans="1:7" s="51" customFormat="1">
      <c r="A40" s="47" t="s">
        <v>15</v>
      </c>
      <c r="B40" s="48">
        <v>12</v>
      </c>
      <c r="C40" s="151" t="str">
        <f xml:space="preserve"> IF(B40="","",setValueToTime(B40))</f>
        <v>1h</v>
      </c>
      <c r="D40" s="165" t="s">
        <v>90</v>
      </c>
      <c r="E40" s="234"/>
      <c r="F40" s="235"/>
      <c r="G40" s="50"/>
    </row>
    <row r="41" spans="1:7" s="51" customFormat="1">
      <c r="A41" s="52" t="s">
        <v>50</v>
      </c>
      <c r="B41" s="53">
        <v>18</v>
      </c>
      <c r="C41" s="152" t="str">
        <f t="shared" ref="C41:C47" si="3" xml:space="preserve"> IF(B41="","",setValueToTime(B41))</f>
        <v>1h30min</v>
      </c>
      <c r="D41" s="166" t="s">
        <v>91</v>
      </c>
      <c r="E41" s="226"/>
      <c r="F41" s="227"/>
      <c r="G41" s="50"/>
    </row>
    <row r="42" spans="1:7" s="51" customFormat="1">
      <c r="A42" s="52" t="s">
        <v>52</v>
      </c>
      <c r="B42" s="53">
        <v>12</v>
      </c>
      <c r="C42" s="152" t="str">
        <f t="shared" si="3"/>
        <v>1h</v>
      </c>
      <c r="D42" s="166" t="s">
        <v>92</v>
      </c>
      <c r="E42" s="226"/>
      <c r="F42" s="227"/>
      <c r="G42" s="50"/>
    </row>
    <row r="43" spans="1:7" s="51" customFormat="1">
      <c r="A43" s="52" t="s">
        <v>15</v>
      </c>
      <c r="B43" s="53">
        <v>3</v>
      </c>
      <c r="C43" s="152" t="str">
        <f t="shared" si="3"/>
        <v>0h15min</v>
      </c>
      <c r="D43" s="166" t="s">
        <v>93</v>
      </c>
      <c r="E43" s="226"/>
      <c r="F43" s="227"/>
      <c r="G43" s="50"/>
    </row>
    <row r="44" spans="1:7" s="51" customFormat="1">
      <c r="A44" s="53"/>
      <c r="B44" s="53"/>
      <c r="C44" s="153" t="str">
        <f t="shared" si="3"/>
        <v/>
      </c>
      <c r="D44" s="54"/>
      <c r="E44" s="226"/>
      <c r="F44" s="227"/>
      <c r="G44" s="50"/>
    </row>
    <row r="45" spans="1:7" s="51" customFormat="1">
      <c r="A45" s="53"/>
      <c r="B45" s="53"/>
      <c r="C45" s="153" t="str">
        <f t="shared" si="3"/>
        <v/>
      </c>
      <c r="D45" s="54"/>
      <c r="E45" s="226"/>
      <c r="F45" s="227"/>
      <c r="G45" s="50"/>
    </row>
    <row r="46" spans="1:7" s="51" customFormat="1">
      <c r="A46" s="53"/>
      <c r="B46" s="53"/>
      <c r="C46" s="153" t="str">
        <f t="shared" si="3"/>
        <v/>
      </c>
      <c r="D46" s="54"/>
      <c r="E46" s="226"/>
      <c r="F46" s="227"/>
      <c r="G46" s="50"/>
    </row>
    <row r="47" spans="1:7" s="51" customFormat="1" ht="15" thickBot="1">
      <c r="A47" s="55"/>
      <c r="B47" s="55"/>
      <c r="C47" s="154" t="str">
        <f t="shared" si="3"/>
        <v/>
      </c>
      <c r="D47" s="56"/>
      <c r="E47" s="228"/>
      <c r="F47" s="229"/>
      <c r="G47" s="50"/>
    </row>
    <row r="48" spans="1:7" s="51" customFormat="1" ht="15" thickBot="1">
      <c r="A48" s="110" t="s">
        <v>27</v>
      </c>
      <c r="B48" s="83">
        <f>SUM(B40:B47)</f>
        <v>45</v>
      </c>
      <c r="C48" s="110" t="str">
        <f xml:space="preserve"> setValueToTime(B48)</f>
        <v>3h45min</v>
      </c>
      <c r="D48" s="119"/>
      <c r="E48" s="230"/>
      <c r="F48" s="231"/>
      <c r="G48" s="50"/>
    </row>
    <row r="49" spans="1:7" s="58" customFormat="1" ht="15" thickBot="1">
      <c r="A49" s="78"/>
      <c r="B49" s="78"/>
      <c r="C49" s="78"/>
      <c r="D49" s="78"/>
      <c r="E49" s="78"/>
      <c r="F49" s="78"/>
      <c r="G49" s="57"/>
    </row>
    <row r="50" spans="1:7" s="46" customFormat="1" ht="30" customHeight="1" thickBot="1">
      <c r="A50" s="80" t="s">
        <v>11</v>
      </c>
      <c r="B50" s="162">
        <v>2</v>
      </c>
      <c r="C50" s="162"/>
      <c r="D50" s="81" t="s">
        <v>14</v>
      </c>
      <c r="E50" s="93">
        <v>44223</v>
      </c>
      <c r="F50" s="125" t="s">
        <v>75</v>
      </c>
      <c r="G50" s="45"/>
    </row>
    <row r="51" spans="1:7" s="46" customFormat="1" ht="30" customHeight="1" thickBot="1">
      <c r="A51" s="79" t="s">
        <v>4</v>
      </c>
      <c r="B51" s="149" t="s">
        <v>38</v>
      </c>
      <c r="C51" s="150"/>
      <c r="D51" s="79" t="s">
        <v>12</v>
      </c>
      <c r="E51" s="232" t="s">
        <v>13</v>
      </c>
      <c r="F51" s="233"/>
      <c r="G51" s="45"/>
    </row>
    <row r="52" spans="1:7" s="51" customFormat="1">
      <c r="A52" s="47" t="s">
        <v>58</v>
      </c>
      <c r="B52" s="48">
        <v>36</v>
      </c>
      <c r="C52" s="151"/>
      <c r="D52" s="165" t="s">
        <v>76</v>
      </c>
      <c r="E52" s="234"/>
      <c r="F52" s="235"/>
      <c r="G52" s="50"/>
    </row>
    <row r="53" spans="1:7" s="51" customFormat="1">
      <c r="A53" s="52" t="s">
        <v>57</v>
      </c>
      <c r="B53" s="53">
        <v>15</v>
      </c>
      <c r="C53" s="152"/>
      <c r="D53" s="166" t="s">
        <v>78</v>
      </c>
      <c r="E53" s="226"/>
      <c r="F53" s="227"/>
      <c r="G53" s="50"/>
    </row>
    <row r="54" spans="1:7" s="51" customFormat="1">
      <c r="A54" s="52"/>
      <c r="B54" s="53"/>
      <c r="C54" s="152" t="str">
        <f t="shared" ref="C54:C59" si="4" xml:space="preserve"> IF(B54="","",setValueToTime(B54))</f>
        <v/>
      </c>
      <c r="D54" s="54"/>
      <c r="E54" s="226"/>
      <c r="F54" s="227"/>
      <c r="G54" s="50"/>
    </row>
    <row r="55" spans="1:7" s="51" customFormat="1">
      <c r="A55" s="52"/>
      <c r="B55" s="53"/>
      <c r="C55" s="152" t="str">
        <f t="shared" si="4"/>
        <v/>
      </c>
      <c r="D55" s="54"/>
      <c r="E55" s="226"/>
      <c r="F55" s="227"/>
      <c r="G55" s="50"/>
    </row>
    <row r="56" spans="1:7" s="51" customFormat="1">
      <c r="A56" s="53"/>
      <c r="B56" s="53"/>
      <c r="C56" s="153" t="str">
        <f t="shared" si="4"/>
        <v/>
      </c>
      <c r="D56" s="54"/>
      <c r="E56" s="226"/>
      <c r="F56" s="227"/>
      <c r="G56" s="50"/>
    </row>
    <row r="57" spans="1:7" s="51" customFormat="1">
      <c r="A57" s="53"/>
      <c r="B57" s="53"/>
      <c r="C57" s="153" t="str">
        <f t="shared" si="4"/>
        <v/>
      </c>
      <c r="D57" s="54"/>
      <c r="E57" s="226"/>
      <c r="F57" s="227"/>
      <c r="G57" s="50"/>
    </row>
    <row r="58" spans="1:7" s="51" customFormat="1">
      <c r="A58" s="53"/>
      <c r="B58" s="53"/>
      <c r="C58" s="153" t="str">
        <f t="shared" si="4"/>
        <v/>
      </c>
      <c r="D58" s="54"/>
      <c r="E58" s="226"/>
      <c r="F58" s="227"/>
      <c r="G58" s="50"/>
    </row>
    <row r="59" spans="1:7" s="51" customFormat="1" ht="15" thickBot="1">
      <c r="A59" s="55"/>
      <c r="B59" s="55"/>
      <c r="C59" s="154" t="str">
        <f t="shared" si="4"/>
        <v/>
      </c>
      <c r="D59" s="56"/>
      <c r="E59" s="228"/>
      <c r="F59" s="229"/>
      <c r="G59" s="50"/>
    </row>
    <row r="60" spans="1:7" s="51" customFormat="1" ht="15" thickBot="1">
      <c r="A60" s="110" t="s">
        <v>27</v>
      </c>
      <c r="B60" s="83">
        <f>SUM(B52:B59)</f>
        <v>51</v>
      </c>
      <c r="C60" s="110" t="str">
        <f xml:space="preserve"> setValueToTime(B60)</f>
        <v>4h15min</v>
      </c>
      <c r="D60" s="119"/>
      <c r="E60" s="230"/>
      <c r="F60" s="231"/>
      <c r="G60" s="50"/>
    </row>
    <row r="61" spans="1:7" s="58" customFormat="1" ht="15" thickBot="1">
      <c r="A61" s="78"/>
      <c r="B61" s="78"/>
      <c r="C61" s="78"/>
      <c r="D61" s="78"/>
      <c r="E61" s="78"/>
      <c r="F61" s="78"/>
      <c r="G61" s="57"/>
    </row>
    <row r="62" spans="1:7" s="46" customFormat="1" ht="30" customHeight="1" thickBot="1">
      <c r="A62" s="80" t="s">
        <v>11</v>
      </c>
      <c r="B62" s="162">
        <v>1</v>
      </c>
      <c r="C62" s="162"/>
      <c r="D62" s="81" t="s">
        <v>14</v>
      </c>
      <c r="E62" s="93">
        <v>44223</v>
      </c>
      <c r="F62" s="125" t="s">
        <v>74</v>
      </c>
      <c r="G62" s="45"/>
    </row>
    <row r="63" spans="1:7" s="46" customFormat="1" ht="30" customHeight="1" thickBot="1">
      <c r="A63" s="79" t="s">
        <v>4</v>
      </c>
      <c r="B63" s="149" t="s">
        <v>38</v>
      </c>
      <c r="C63" s="150"/>
      <c r="D63" s="79" t="s">
        <v>12</v>
      </c>
      <c r="E63" s="232" t="s">
        <v>13</v>
      </c>
      <c r="F63" s="233"/>
      <c r="G63" s="45"/>
    </row>
    <row r="64" spans="1:7" s="51" customFormat="1">
      <c r="A64" s="47" t="s">
        <v>51</v>
      </c>
      <c r="B64" s="48">
        <v>12</v>
      </c>
      <c r="C64" s="152" t="str">
        <f xml:space="preserve"> IF(B64="","",setValueToTime(B64))</f>
        <v>1h</v>
      </c>
      <c r="D64" s="165" t="s">
        <v>68</v>
      </c>
      <c r="E64" s="234"/>
      <c r="F64" s="235"/>
      <c r="G64" s="50"/>
    </row>
    <row r="65" spans="1:7" s="51" customFormat="1">
      <c r="A65" s="52" t="s">
        <v>56</v>
      </c>
      <c r="B65" s="53">
        <v>9</v>
      </c>
      <c r="C65" s="152" t="str">
        <f xml:space="preserve"> IF(B65="","",setValueToTime(B65))</f>
        <v>0h45min</v>
      </c>
      <c r="D65" s="166" t="s">
        <v>70</v>
      </c>
      <c r="E65" s="226"/>
      <c r="F65" s="227"/>
      <c r="G65" s="50"/>
    </row>
    <row r="66" spans="1:7" s="51" customFormat="1" ht="27">
      <c r="A66" s="52" t="s">
        <v>64</v>
      </c>
      <c r="B66" s="53">
        <v>9</v>
      </c>
      <c r="C66" s="152" t="str">
        <f t="shared" ref="C66:C71" si="5" xml:space="preserve"> IF(B66="","",setValueToTime(B66))</f>
        <v>0h45min</v>
      </c>
      <c r="D66" s="166" t="s">
        <v>72</v>
      </c>
      <c r="E66" s="226"/>
      <c r="F66" s="227"/>
      <c r="G66" s="50"/>
    </row>
    <row r="67" spans="1:7" s="51" customFormat="1" ht="27">
      <c r="A67" s="52" t="s">
        <v>65</v>
      </c>
      <c r="B67" s="53">
        <v>9</v>
      </c>
      <c r="C67" s="152" t="str">
        <f t="shared" si="5"/>
        <v>0h45min</v>
      </c>
      <c r="D67" s="166" t="s">
        <v>73</v>
      </c>
      <c r="E67" s="226"/>
      <c r="F67" s="227"/>
      <c r="G67" s="50"/>
    </row>
    <row r="68" spans="1:7" s="51" customFormat="1">
      <c r="A68" s="53" t="s">
        <v>58</v>
      </c>
      <c r="B68" s="53">
        <v>12</v>
      </c>
      <c r="C68" s="153" t="str">
        <f t="shared" si="5"/>
        <v>1h</v>
      </c>
      <c r="D68" s="166" t="s">
        <v>77</v>
      </c>
      <c r="E68" s="226"/>
      <c r="F68" s="227"/>
      <c r="G68" s="50"/>
    </row>
    <row r="69" spans="1:7" s="51" customFormat="1">
      <c r="A69" s="53"/>
      <c r="B69" s="53"/>
      <c r="C69" s="153" t="str">
        <f t="shared" si="5"/>
        <v/>
      </c>
      <c r="D69" s="54"/>
      <c r="E69" s="226"/>
      <c r="F69" s="227"/>
      <c r="G69" s="50"/>
    </row>
    <row r="70" spans="1:7" s="51" customFormat="1">
      <c r="A70" s="53"/>
      <c r="B70" s="53"/>
      <c r="C70" s="153" t="str">
        <f t="shared" si="5"/>
        <v/>
      </c>
      <c r="D70" s="54"/>
      <c r="E70" s="226"/>
      <c r="F70" s="227"/>
      <c r="G70" s="50"/>
    </row>
    <row r="71" spans="1:7" s="51" customFormat="1" ht="15" thickBot="1">
      <c r="A71" s="55"/>
      <c r="B71" s="55"/>
      <c r="C71" s="154" t="str">
        <f t="shared" si="5"/>
        <v/>
      </c>
      <c r="D71" s="56"/>
      <c r="E71" s="228"/>
      <c r="F71" s="229"/>
      <c r="G71" s="50"/>
    </row>
    <row r="72" spans="1:7" s="51" customFormat="1" ht="15" thickBot="1">
      <c r="A72" s="110" t="s">
        <v>27</v>
      </c>
      <c r="B72" s="83">
        <f>SUM(B64:B71)</f>
        <v>51</v>
      </c>
      <c r="C72" s="110" t="str">
        <f xml:space="preserve"> setValueToTime(B72)</f>
        <v>4h15min</v>
      </c>
      <c r="D72" s="119"/>
      <c r="E72" s="230"/>
      <c r="F72" s="231"/>
      <c r="G72" s="50"/>
    </row>
    <row r="73" spans="1:7" s="58" customFormat="1">
      <c r="A73" s="78"/>
      <c r="B73" s="78"/>
      <c r="C73" s="78"/>
      <c r="D73" s="78"/>
      <c r="E73" s="78"/>
      <c r="F73" s="78"/>
      <c r="G73" s="57"/>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58:F58"/>
    <mergeCell ref="E59:F59"/>
    <mergeCell ref="E60:F60"/>
    <mergeCell ref="E69:F69"/>
    <mergeCell ref="E39:F39"/>
    <mergeCell ref="E40:F40"/>
    <mergeCell ref="E41:F41"/>
    <mergeCell ref="E42:F42"/>
    <mergeCell ref="E43:F43"/>
    <mergeCell ref="E44:F44"/>
    <mergeCell ref="E45:F45"/>
    <mergeCell ref="E46:F46"/>
    <mergeCell ref="E47:F47"/>
    <mergeCell ref="E48:F48"/>
    <mergeCell ref="E70:F70"/>
    <mergeCell ref="E71:F71"/>
    <mergeCell ref="E72:F72"/>
    <mergeCell ref="E51:F51"/>
    <mergeCell ref="E52:F52"/>
    <mergeCell ref="E53:F53"/>
    <mergeCell ref="E54:F54"/>
    <mergeCell ref="E55:F55"/>
    <mergeCell ref="E56:F56"/>
    <mergeCell ref="E63:F63"/>
    <mergeCell ref="E64:F64"/>
    <mergeCell ref="E65:F65"/>
    <mergeCell ref="E66:F66"/>
    <mergeCell ref="E67:F67"/>
    <mergeCell ref="E68:F68"/>
    <mergeCell ref="E57:F57"/>
  </mergeCells>
  <phoneticPr fontId="0" type="noConversion"/>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whole" operator="greaterThan" allowBlank="1" showInputMessage="1" showErrorMessage="1" errorTitle="Durée par tranche de 10min" error="Le nombre doit être de type entier" sqref="B52:B59 B64:B71 B40:B47 B28:B35 B16:B23 B4:B11">
      <formula1>0</formula1>
    </dataValidation>
    <dataValidation type="list" allowBlank="1" showInputMessage="1" showErrorMessage="1" sqref="A52:A59 A64:A71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9"/>
  <sheetViews>
    <sheetView showGridLines="0" tabSelected="1" zoomScaleNormal="100" zoomScaleSheetLayoutView="98" workbookViewId="0">
      <pane ySplit="1" topLeftCell="A2" activePane="bottomLeft" state="frozen"/>
      <selection pane="bottomLeft" activeCell="E8" sqref="E8:F8"/>
    </sheetView>
  </sheetViews>
  <sheetFormatPr baseColWidth="10" defaultColWidth="11.42578125" defaultRowHeight="14.25"/>
  <cols>
    <col min="1" max="1" width="29.28515625" style="59" customWidth="1"/>
    <col min="2" max="2" width="8.42578125" style="59" customWidth="1"/>
    <col min="3" max="3" width="8.710937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v>
      </c>
      <c r="C2" s="163"/>
      <c r="D2" s="156" t="s">
        <v>14</v>
      </c>
      <c r="E2" s="157" t="s">
        <v>100</v>
      </c>
      <c r="F2" s="158" t="s">
        <v>94</v>
      </c>
      <c r="G2" s="45"/>
    </row>
    <row r="3" spans="1:7" s="46" customFormat="1" ht="30" customHeight="1" thickBot="1">
      <c r="A3" s="77" t="s">
        <v>4</v>
      </c>
      <c r="B3" s="160" t="s">
        <v>38</v>
      </c>
      <c r="C3" s="159"/>
      <c r="D3" s="77" t="s">
        <v>12</v>
      </c>
      <c r="E3" s="238" t="s">
        <v>13</v>
      </c>
      <c r="F3" s="239"/>
      <c r="G3" s="45"/>
    </row>
    <row r="4" spans="1:7" s="51" customFormat="1" ht="81">
      <c r="A4" s="47" t="s">
        <v>58</v>
      </c>
      <c r="B4" s="48">
        <v>33</v>
      </c>
      <c r="C4" s="151" t="str">
        <f xml:space="preserve"> IF(B4="","",setValueToTime(B4))</f>
        <v>2h45min</v>
      </c>
      <c r="D4" s="165" t="s">
        <v>105</v>
      </c>
      <c r="E4" s="234"/>
      <c r="F4" s="235"/>
      <c r="G4" s="50"/>
    </row>
    <row r="5" spans="1:7" s="51" customFormat="1">
      <c r="A5" s="52" t="s">
        <v>15</v>
      </c>
      <c r="B5" s="53">
        <v>3</v>
      </c>
      <c r="C5" s="152" t="str">
        <f t="shared" ref="C5:C11" si="0" xml:space="preserve"> IF(B5="","",setValueToTime(B5))</f>
        <v>0h15min</v>
      </c>
      <c r="D5" s="166" t="s">
        <v>106</v>
      </c>
      <c r="E5" s="226"/>
      <c r="F5" s="227"/>
      <c r="G5" s="50"/>
    </row>
    <row r="6" spans="1:7" s="51" customFormat="1">
      <c r="A6" s="52"/>
      <c r="B6" s="53"/>
      <c r="C6" s="152" t="str">
        <f t="shared" si="0"/>
        <v/>
      </c>
      <c r="D6" s="54"/>
      <c r="E6" s="226"/>
      <c r="F6" s="227"/>
      <c r="G6" s="50"/>
    </row>
    <row r="7" spans="1:7" s="51" customFormat="1">
      <c r="A7" s="52"/>
      <c r="B7" s="53"/>
      <c r="C7" s="152"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c r="A10" s="53"/>
      <c r="B10" s="53"/>
      <c r="C10" s="153" t="str">
        <f t="shared" si="0"/>
        <v/>
      </c>
      <c r="D10" s="54"/>
      <c r="E10" s="226"/>
      <c r="F10" s="227"/>
      <c r="G10" s="50"/>
    </row>
    <row r="11" spans="1:7" s="51" customFormat="1" ht="15" thickBot="1">
      <c r="A11" s="55"/>
      <c r="B11" s="55"/>
      <c r="C11" s="154" t="str">
        <f t="shared" si="0"/>
        <v/>
      </c>
      <c r="D11" s="56"/>
      <c r="E11" s="228"/>
      <c r="F11" s="229"/>
      <c r="G11" s="50"/>
    </row>
    <row r="12" spans="1:7" s="51" customFormat="1" ht="15" thickBot="1">
      <c r="A12" s="161" t="s">
        <v>27</v>
      </c>
      <c r="B12" s="82">
        <f>SUM(B4:B11)</f>
        <v>36</v>
      </c>
      <c r="C12" s="161" t="str">
        <f xml:space="preserve"> setValueToTime(B12)</f>
        <v>3h</v>
      </c>
      <c r="D12" s="120"/>
      <c r="E12" s="236"/>
      <c r="F12" s="237"/>
      <c r="G12" s="50"/>
    </row>
    <row r="13" spans="1:7" s="58" customFormat="1" ht="15" thickBot="1">
      <c r="A13" s="76"/>
      <c r="B13" s="76"/>
      <c r="C13" s="76"/>
      <c r="D13" s="76"/>
      <c r="E13" s="76"/>
      <c r="F13" s="76"/>
      <c r="G13" s="57"/>
    </row>
    <row r="14" spans="1:7" s="46" customFormat="1" ht="30" customHeight="1" thickBot="1">
      <c r="A14" s="155" t="s">
        <v>11</v>
      </c>
      <c r="B14" s="163">
        <v>3</v>
      </c>
      <c r="C14" s="163"/>
      <c r="D14" s="156" t="s">
        <v>14</v>
      </c>
      <c r="E14" s="157" t="s">
        <v>100</v>
      </c>
      <c r="F14" s="158" t="s">
        <v>89</v>
      </c>
      <c r="G14" s="45"/>
    </row>
    <row r="15" spans="1:7" s="46" customFormat="1" ht="30" customHeight="1" thickBot="1">
      <c r="A15" s="77" t="s">
        <v>4</v>
      </c>
      <c r="B15" s="160" t="s">
        <v>38</v>
      </c>
      <c r="C15" s="159"/>
      <c r="D15" s="77" t="s">
        <v>12</v>
      </c>
      <c r="E15" s="238" t="s">
        <v>13</v>
      </c>
      <c r="F15" s="239"/>
      <c r="G15" s="45"/>
    </row>
    <row r="16" spans="1:7" s="51" customFormat="1">
      <c r="A16" s="47" t="s">
        <v>56</v>
      </c>
      <c r="B16" s="48">
        <v>3</v>
      </c>
      <c r="C16" s="151" t="str">
        <f xml:space="preserve"> IF(B16="","",setValueToTime(B16))</f>
        <v>0h15min</v>
      </c>
      <c r="D16" s="165" t="s">
        <v>101</v>
      </c>
      <c r="E16" s="234"/>
      <c r="F16" s="235"/>
      <c r="G16" s="50"/>
    </row>
    <row r="17" spans="1:7" s="51" customFormat="1">
      <c r="A17" s="52" t="s">
        <v>50</v>
      </c>
      <c r="B17" s="53">
        <v>15</v>
      </c>
      <c r="C17" s="152" t="str">
        <f t="shared" ref="C17:C23" si="1" xml:space="preserve"> IF(B17="","",setValueToTime(B17))</f>
        <v>1h15min</v>
      </c>
      <c r="D17" s="166" t="s">
        <v>102</v>
      </c>
      <c r="E17" s="226"/>
      <c r="F17" s="227"/>
      <c r="G17" s="50"/>
    </row>
    <row r="18" spans="1:7" s="51" customFormat="1" ht="27">
      <c r="A18" s="52" t="s">
        <v>52</v>
      </c>
      <c r="B18" s="53">
        <v>6</v>
      </c>
      <c r="C18" s="152" t="str">
        <f t="shared" si="1"/>
        <v>0h30min</v>
      </c>
      <c r="D18" s="166" t="s">
        <v>103</v>
      </c>
      <c r="E18" s="226"/>
      <c r="F18" s="227"/>
      <c r="G18" s="50"/>
    </row>
    <row r="19" spans="1:7" s="51" customFormat="1" ht="67.5">
      <c r="A19" s="52" t="s">
        <v>58</v>
      </c>
      <c r="B19" s="53">
        <v>12</v>
      </c>
      <c r="C19" s="152" t="str">
        <f t="shared" si="1"/>
        <v>1h</v>
      </c>
      <c r="D19" s="166" t="s">
        <v>104</v>
      </c>
      <c r="E19" s="226"/>
      <c r="F19" s="227"/>
      <c r="G19" s="50"/>
    </row>
    <row r="20" spans="1:7" s="51" customFormat="1">
      <c r="A20" s="53"/>
      <c r="B20" s="53"/>
      <c r="C20" s="153" t="str">
        <f t="shared" si="1"/>
        <v/>
      </c>
      <c r="D20" s="54"/>
      <c r="E20" s="226"/>
      <c r="F20" s="227"/>
      <c r="G20" s="50"/>
    </row>
    <row r="21" spans="1:7" s="51" customFormat="1">
      <c r="A21" s="53"/>
      <c r="B21" s="53"/>
      <c r="C21" s="153" t="str">
        <f t="shared" si="1"/>
        <v/>
      </c>
      <c r="D21" s="54"/>
      <c r="E21" s="226"/>
      <c r="F21" s="227"/>
      <c r="G21" s="50"/>
    </row>
    <row r="22" spans="1:7" s="51" customFormat="1">
      <c r="A22" s="53"/>
      <c r="B22" s="53"/>
      <c r="C22" s="153" t="str">
        <f t="shared" si="1"/>
        <v/>
      </c>
      <c r="D22" s="54"/>
      <c r="E22" s="226"/>
      <c r="F22" s="227"/>
      <c r="G22" s="50"/>
    </row>
    <row r="23" spans="1:7" s="51" customFormat="1" ht="15" thickBot="1">
      <c r="A23" s="55"/>
      <c r="B23" s="55"/>
      <c r="C23" s="154" t="str">
        <f t="shared" si="1"/>
        <v/>
      </c>
      <c r="D23" s="56"/>
      <c r="E23" s="228"/>
      <c r="F23" s="229"/>
      <c r="G23" s="50"/>
    </row>
    <row r="24" spans="1:7" s="51" customFormat="1" ht="15" thickBot="1">
      <c r="A24" s="161" t="s">
        <v>27</v>
      </c>
      <c r="B24" s="82">
        <f>SUM(B16:B23)</f>
        <v>36</v>
      </c>
      <c r="C24" s="161" t="str">
        <f xml:space="preserve"> setValueToTime(B24)</f>
        <v>3h</v>
      </c>
      <c r="D24" s="120"/>
      <c r="E24" s="236"/>
      <c r="F24" s="237"/>
      <c r="G24" s="50"/>
    </row>
    <row r="25" spans="1:7" s="58" customFormat="1" ht="15" thickBot="1">
      <c r="A25" s="76"/>
      <c r="B25" s="76"/>
      <c r="C25" s="76"/>
      <c r="D25" s="76"/>
      <c r="E25" s="76"/>
      <c r="F25" s="76"/>
      <c r="G25" s="57"/>
    </row>
    <row r="26" spans="1:7" s="46" customFormat="1" ht="30" customHeight="1" thickBot="1">
      <c r="A26" s="155" t="s">
        <v>11</v>
      </c>
      <c r="B26" s="163">
        <v>2</v>
      </c>
      <c r="C26" s="163"/>
      <c r="D26" s="156" t="s">
        <v>14</v>
      </c>
      <c r="E26" s="157" t="s">
        <v>71</v>
      </c>
      <c r="F26" s="158" t="s">
        <v>75</v>
      </c>
      <c r="G26" s="45"/>
    </row>
    <row r="27" spans="1:7" s="46" customFormat="1" ht="30" customHeight="1" thickBot="1">
      <c r="A27" s="77" t="s">
        <v>4</v>
      </c>
      <c r="B27" s="160" t="s">
        <v>38</v>
      </c>
      <c r="C27" s="159"/>
      <c r="D27" s="77" t="s">
        <v>12</v>
      </c>
      <c r="E27" s="238" t="s">
        <v>13</v>
      </c>
      <c r="F27" s="239"/>
      <c r="G27" s="45"/>
    </row>
    <row r="28" spans="1:7" s="51" customFormat="1" ht="67.5">
      <c r="A28" s="47" t="s">
        <v>58</v>
      </c>
      <c r="B28" s="48">
        <v>33</v>
      </c>
      <c r="C28" s="151" t="str">
        <f xml:space="preserve"> IF(B28="","",setValueToTime(B28))</f>
        <v>2h45min</v>
      </c>
      <c r="D28" s="165" t="s">
        <v>84</v>
      </c>
      <c r="E28" s="234"/>
      <c r="F28" s="235"/>
      <c r="G28" s="50"/>
    </row>
    <row r="29" spans="1:7" s="51" customFormat="1">
      <c r="A29" s="52" t="s">
        <v>15</v>
      </c>
      <c r="B29" s="53">
        <v>3</v>
      </c>
      <c r="C29" s="152" t="str">
        <f t="shared" ref="C29:C35" si="2" xml:space="preserve"> IF(B29="","",setValueToTime(B29))</f>
        <v>0h15min</v>
      </c>
      <c r="D29" s="166" t="s">
        <v>85</v>
      </c>
      <c r="E29" s="226"/>
      <c r="F29" s="227"/>
      <c r="G29" s="50"/>
    </row>
    <row r="30" spans="1:7" s="51" customFormat="1">
      <c r="A30" s="52"/>
      <c r="B30" s="53"/>
      <c r="C30" s="152" t="str">
        <f t="shared" si="2"/>
        <v/>
      </c>
      <c r="D30" s="54"/>
      <c r="E30" s="226"/>
      <c r="F30" s="227"/>
      <c r="G30" s="50"/>
    </row>
    <row r="31" spans="1:7" s="51" customFormat="1">
      <c r="A31" s="52"/>
      <c r="B31" s="53"/>
      <c r="C31" s="152" t="str">
        <f t="shared" si="2"/>
        <v/>
      </c>
      <c r="D31" s="54"/>
      <c r="E31" s="226"/>
      <c r="F31" s="227"/>
      <c r="G31" s="50"/>
    </row>
    <row r="32" spans="1:7" s="51" customFormat="1">
      <c r="A32" s="53"/>
      <c r="B32" s="53"/>
      <c r="C32" s="153" t="str">
        <f t="shared" si="2"/>
        <v/>
      </c>
      <c r="D32" s="54"/>
      <c r="E32" s="226"/>
      <c r="F32" s="227"/>
      <c r="G32" s="50"/>
    </row>
    <row r="33" spans="1:7" s="51" customFormat="1">
      <c r="A33" s="53"/>
      <c r="B33" s="53"/>
      <c r="C33" s="153" t="str">
        <f t="shared" si="2"/>
        <v/>
      </c>
      <c r="D33" s="54"/>
      <c r="E33" s="226"/>
      <c r="F33" s="227"/>
      <c r="G33" s="50"/>
    </row>
    <row r="34" spans="1:7" s="51" customFormat="1">
      <c r="A34" s="53"/>
      <c r="B34" s="53"/>
      <c r="C34" s="153" t="str">
        <f t="shared" si="2"/>
        <v/>
      </c>
      <c r="D34" s="54"/>
      <c r="E34" s="226"/>
      <c r="F34" s="227"/>
      <c r="G34" s="50"/>
    </row>
    <row r="35" spans="1:7" s="51" customFormat="1" ht="15" thickBot="1">
      <c r="A35" s="55"/>
      <c r="B35" s="55"/>
      <c r="C35" s="154" t="str">
        <f t="shared" si="2"/>
        <v/>
      </c>
      <c r="D35" s="56"/>
      <c r="E35" s="228"/>
      <c r="F35" s="229"/>
      <c r="G35" s="50"/>
    </row>
    <row r="36" spans="1:7" s="51" customFormat="1" ht="15" thickBot="1">
      <c r="A36" s="161" t="s">
        <v>27</v>
      </c>
      <c r="B36" s="82">
        <f>SUM(B28:B35)</f>
        <v>36</v>
      </c>
      <c r="C36" s="161" t="str">
        <f xml:space="preserve"> setValueToTime(B36)</f>
        <v>3h</v>
      </c>
      <c r="D36" s="120"/>
      <c r="E36" s="236"/>
      <c r="F36" s="237"/>
      <c r="G36" s="50"/>
    </row>
    <row r="37" spans="1:7" s="58" customFormat="1" ht="15" thickBot="1">
      <c r="A37" s="76"/>
      <c r="B37" s="76"/>
      <c r="C37" s="76"/>
      <c r="D37" s="76"/>
      <c r="E37" s="76"/>
      <c r="F37" s="76"/>
      <c r="G37" s="57"/>
    </row>
    <row r="38" spans="1:7" s="46" customFormat="1" ht="30" customHeight="1" thickBot="1">
      <c r="A38" s="155" t="s">
        <v>11</v>
      </c>
      <c r="B38" s="163">
        <v>1</v>
      </c>
      <c r="C38" s="163"/>
      <c r="D38" s="156" t="s">
        <v>14</v>
      </c>
      <c r="E38" s="157" t="s">
        <v>71</v>
      </c>
      <c r="F38" s="158" t="s">
        <v>74</v>
      </c>
      <c r="G38" s="45"/>
    </row>
    <row r="39" spans="1:7" s="46" customFormat="1" ht="30" customHeight="1" thickBot="1">
      <c r="A39" s="77" t="s">
        <v>4</v>
      </c>
      <c r="B39" s="160" t="s">
        <v>38</v>
      </c>
      <c r="C39" s="159"/>
      <c r="D39" s="77" t="s">
        <v>12</v>
      </c>
      <c r="E39" s="238" t="s">
        <v>13</v>
      </c>
      <c r="F39" s="239"/>
      <c r="G39" s="45"/>
    </row>
    <row r="40" spans="1:7" s="51" customFormat="1">
      <c r="A40" s="47" t="s">
        <v>51</v>
      </c>
      <c r="B40" s="48">
        <v>12</v>
      </c>
      <c r="C40" s="151" t="str">
        <f xml:space="preserve"> IF(B40="","",setValueToTime(B40))</f>
        <v>1h</v>
      </c>
      <c r="D40" s="165" t="s">
        <v>79</v>
      </c>
      <c r="E40" s="234"/>
      <c r="F40" s="235"/>
      <c r="G40" s="50"/>
    </row>
    <row r="41" spans="1:7" s="51" customFormat="1">
      <c r="A41" s="52" t="s">
        <v>56</v>
      </c>
      <c r="B41" s="53">
        <v>9</v>
      </c>
      <c r="C41" s="152" t="str">
        <f t="shared" ref="C41:C47" si="3" xml:space="preserve"> IF(B41="","",setValueToTime(B41))</f>
        <v>0h45min</v>
      </c>
      <c r="D41" s="166" t="s">
        <v>69</v>
      </c>
      <c r="E41" s="226"/>
      <c r="F41" s="227"/>
      <c r="G41" s="50"/>
    </row>
    <row r="42" spans="1:7" s="51" customFormat="1" ht="27">
      <c r="A42" s="52" t="s">
        <v>64</v>
      </c>
      <c r="B42" s="53">
        <v>9</v>
      </c>
      <c r="C42" s="152" t="str">
        <f t="shared" si="3"/>
        <v>0h45min</v>
      </c>
      <c r="D42" s="166" t="s">
        <v>81</v>
      </c>
      <c r="E42" s="240" t="s">
        <v>80</v>
      </c>
      <c r="F42" s="227"/>
      <c r="G42" s="50"/>
    </row>
    <row r="43" spans="1:7" s="51" customFormat="1" ht="27">
      <c r="A43" s="52" t="s">
        <v>65</v>
      </c>
      <c r="B43" s="53">
        <v>3</v>
      </c>
      <c r="C43" s="152" t="str">
        <f t="shared" si="3"/>
        <v>0h15min</v>
      </c>
      <c r="D43" s="166" t="s">
        <v>82</v>
      </c>
      <c r="E43" s="226"/>
      <c r="F43" s="227"/>
      <c r="G43" s="50"/>
    </row>
    <row r="44" spans="1:7" s="51" customFormat="1" ht="40.5">
      <c r="A44" s="53" t="s">
        <v>58</v>
      </c>
      <c r="B44" s="53">
        <v>18</v>
      </c>
      <c r="C44" s="153" t="str">
        <f t="shared" si="3"/>
        <v>1h30min</v>
      </c>
      <c r="D44" s="166" t="s">
        <v>83</v>
      </c>
      <c r="E44" s="226"/>
      <c r="F44" s="227"/>
      <c r="G44" s="50"/>
    </row>
    <row r="45" spans="1:7" s="51" customFormat="1">
      <c r="A45" s="53"/>
      <c r="B45" s="53"/>
      <c r="C45" s="153" t="str">
        <f t="shared" si="3"/>
        <v/>
      </c>
      <c r="D45" s="54"/>
      <c r="E45" s="226"/>
      <c r="F45" s="227"/>
      <c r="G45" s="50"/>
    </row>
    <row r="46" spans="1:7" s="51" customFormat="1">
      <c r="A46" s="53"/>
      <c r="B46" s="53"/>
      <c r="C46" s="153" t="str">
        <f t="shared" si="3"/>
        <v/>
      </c>
      <c r="D46" s="54"/>
      <c r="E46" s="226"/>
      <c r="F46" s="227"/>
      <c r="G46" s="50"/>
    </row>
    <row r="47" spans="1:7" s="51" customFormat="1" ht="15" thickBot="1">
      <c r="A47" s="55"/>
      <c r="B47" s="55"/>
      <c r="C47" s="154" t="str">
        <f t="shared" si="3"/>
        <v/>
      </c>
      <c r="D47" s="56"/>
      <c r="E47" s="228"/>
      <c r="F47" s="229"/>
      <c r="G47" s="50"/>
    </row>
    <row r="48" spans="1:7" s="51" customFormat="1" ht="15" thickBot="1">
      <c r="A48" s="161" t="s">
        <v>27</v>
      </c>
      <c r="B48" s="82">
        <f>SUM(B40:B47)</f>
        <v>51</v>
      </c>
      <c r="C48" s="161" t="str">
        <f xml:space="preserve"> setValueToTime(B48)</f>
        <v>4h15min</v>
      </c>
      <c r="D48" s="120"/>
      <c r="E48" s="236"/>
      <c r="F48" s="237"/>
      <c r="G48" s="50"/>
    </row>
    <row r="49" spans="1:7" s="58" customFormat="1">
      <c r="A49" s="76"/>
      <c r="B49" s="76"/>
      <c r="C49" s="76"/>
      <c r="D49" s="76"/>
      <c r="E49" s="76"/>
      <c r="F49" s="76"/>
      <c r="G49" s="57"/>
    </row>
  </sheetData>
  <sheetProtection formatRows="0" insertRows="0" insertHyperlinks="0" deleteRows="0" selectLockedCells="1"/>
  <mergeCells count="40">
    <mergeCell ref="E35:F35"/>
    <mergeCell ref="E36:F36"/>
    <mergeCell ref="E45:F45"/>
    <mergeCell ref="E46:F46"/>
    <mergeCell ref="E3:F3"/>
    <mergeCell ref="E4:F4"/>
    <mergeCell ref="E5:F5"/>
    <mergeCell ref="E6:F6"/>
    <mergeCell ref="E7:F7"/>
    <mergeCell ref="E8:F8"/>
    <mergeCell ref="E9:F9"/>
    <mergeCell ref="E10:F10"/>
    <mergeCell ref="E11:F11"/>
    <mergeCell ref="E12:F12"/>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 ref="E33:F33"/>
    <mergeCell ref="E34:F34"/>
    <mergeCell ref="E15:F15"/>
    <mergeCell ref="E16:F16"/>
    <mergeCell ref="E17:F17"/>
    <mergeCell ref="E18:F18"/>
    <mergeCell ref="E19:F19"/>
    <mergeCell ref="E20:F20"/>
    <mergeCell ref="E21:F21"/>
    <mergeCell ref="E22:F22"/>
    <mergeCell ref="E23:F23"/>
    <mergeCell ref="E24:F2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formula1>0</formula1>
      <formula2>60</formula2>
    </dataValidation>
    <dataValidation type="list" allowBlank="1" showInputMessage="1" showErrorMessage="1" sqref="A40:A47 A28:A35 A16:A23 A4:A11">
      <formula1>ListeTaches</formula1>
    </dataValidation>
  </dataValidations>
  <hyperlinks>
    <hyperlink ref="E4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89"/>
    </row>
    <row r="11" spans="1:61" ht="18">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89"/>
    </row>
    <row r="12" spans="1:61" ht="18.75" thickBot="1">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89"/>
    </row>
    <row r="13" spans="1:61" ht="18.75" thickBot="1">
      <c r="A13" s="197" t="s">
        <v>11</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89"/>
    </row>
    <row r="14" spans="1:61" ht="15.75" thickBot="1">
      <c r="A14" s="102"/>
      <c r="B14" s="103"/>
      <c r="C14" s="103"/>
      <c r="D14" s="103"/>
      <c r="E14" s="200" t="s">
        <v>32</v>
      </c>
      <c r="F14" s="200"/>
      <c r="G14" s="200"/>
      <c r="H14" s="200"/>
      <c r="I14" s="103"/>
      <c r="J14" s="103"/>
      <c r="K14" s="201" t="s">
        <v>22</v>
      </c>
      <c r="L14" s="201"/>
      <c r="M14" s="201"/>
      <c r="N14" s="201"/>
      <c r="O14" s="128"/>
      <c r="P14" s="128"/>
      <c r="Q14" s="200" t="s">
        <v>33</v>
      </c>
      <c r="R14" s="200"/>
      <c r="S14" s="200"/>
      <c r="T14" s="200"/>
      <c r="U14" s="103"/>
      <c r="V14" s="103"/>
      <c r="W14" s="201" t="s">
        <v>23</v>
      </c>
      <c r="X14" s="201"/>
      <c r="Y14" s="201"/>
      <c r="Z14" s="201"/>
      <c r="AA14" s="128"/>
      <c r="AB14" s="128"/>
      <c r="AC14" s="200" t="s">
        <v>34</v>
      </c>
      <c r="AD14" s="200"/>
      <c r="AE14" s="200"/>
      <c r="AF14" s="200"/>
      <c r="AG14" s="103"/>
      <c r="AH14" s="103"/>
      <c r="AI14" s="201" t="s">
        <v>24</v>
      </c>
      <c r="AJ14" s="201"/>
      <c r="AK14" s="201"/>
      <c r="AL14" s="201"/>
      <c r="AM14" s="128"/>
      <c r="AN14" s="128"/>
      <c r="AO14" s="200" t="s">
        <v>35</v>
      </c>
      <c r="AP14" s="200"/>
      <c r="AQ14" s="200"/>
      <c r="AR14" s="200"/>
      <c r="AS14" s="103"/>
      <c r="AT14" s="103"/>
      <c r="AU14" s="201" t="s">
        <v>25</v>
      </c>
      <c r="AV14" s="201"/>
      <c r="AW14" s="201"/>
      <c r="AX14" s="201"/>
      <c r="AY14" s="128"/>
      <c r="AZ14" s="128"/>
      <c r="BA14" s="200" t="s">
        <v>36</v>
      </c>
      <c r="BB14" s="200"/>
      <c r="BC14" s="200"/>
      <c r="BD14" s="200"/>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2" t="s">
        <v>13</v>
      </c>
      <c r="F2" s="233"/>
      <c r="G2" s="45"/>
    </row>
    <row r="3" spans="1:7" s="51" customFormat="1">
      <c r="A3" s="47"/>
      <c r="B3" s="48"/>
      <c r="C3" s="151" t="str">
        <f xml:space="preserve"> IF(B3="","",setValueToTime(B3))</f>
        <v/>
      </c>
      <c r="D3" s="49"/>
      <c r="E3" s="234"/>
      <c r="F3" s="235"/>
      <c r="G3" s="50"/>
    </row>
    <row r="4" spans="1:7" s="51" customFormat="1">
      <c r="A4" s="52"/>
      <c r="B4" s="53"/>
      <c r="C4" s="152" t="str">
        <f t="shared" ref="C4:C10" si="0" xml:space="preserve"> IF(B4="","",setValueToTime(B4))</f>
        <v/>
      </c>
      <c r="D4" s="54"/>
      <c r="E4" s="226"/>
      <c r="F4" s="227"/>
      <c r="G4" s="50"/>
    </row>
    <row r="5" spans="1:7" s="51" customFormat="1">
      <c r="A5" s="52"/>
      <c r="B5" s="53"/>
      <c r="C5" s="152" t="str">
        <f t="shared" si="0"/>
        <v/>
      </c>
      <c r="D5" s="54"/>
      <c r="E5" s="226"/>
      <c r="F5" s="227"/>
      <c r="G5" s="50"/>
    </row>
    <row r="6" spans="1:7" s="51" customFormat="1">
      <c r="A6" s="52"/>
      <c r="B6" s="53"/>
      <c r="C6" s="152" t="str">
        <f t="shared" si="0"/>
        <v/>
      </c>
      <c r="D6" s="54"/>
      <c r="E6" s="226"/>
      <c r="F6" s="227"/>
      <c r="G6" s="50"/>
    </row>
    <row r="7" spans="1:7" s="51" customFormat="1">
      <c r="A7" s="53"/>
      <c r="B7" s="53"/>
      <c r="C7" s="153"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ht="15" thickBot="1">
      <c r="A10" s="55"/>
      <c r="B10" s="55"/>
      <c r="C10" s="154" t="str">
        <f t="shared" si="0"/>
        <v/>
      </c>
      <c r="D10" s="56"/>
      <c r="E10" s="228"/>
      <c r="F10" s="229"/>
      <c r="G10" s="50"/>
    </row>
    <row r="11" spans="1:7" s="51" customFormat="1" ht="15" thickBot="1">
      <c r="A11" s="110" t="s">
        <v>27</v>
      </c>
      <c r="B11" s="83">
        <f>SUM(B3:B10)</f>
        <v>0</v>
      </c>
      <c r="C11" s="110" t="str">
        <f xml:space="preserve"> setValueToTime(B11)</f>
        <v>0h</v>
      </c>
      <c r="D11" s="119"/>
      <c r="E11" s="230"/>
      <c r="F11" s="231"/>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38" t="s">
        <v>13</v>
      </c>
      <c r="F2" s="239"/>
      <c r="G2" s="45"/>
    </row>
    <row r="3" spans="1:7" s="51" customFormat="1">
      <c r="A3" s="47"/>
      <c r="B3" s="48"/>
      <c r="C3" s="151" t="str">
        <f xml:space="preserve"> IF(B3="","",setValueToTime(B3))</f>
        <v/>
      </c>
      <c r="D3" s="49"/>
      <c r="E3" s="234"/>
      <c r="F3" s="235"/>
      <c r="G3" s="50"/>
    </row>
    <row r="4" spans="1:7" s="51" customFormat="1">
      <c r="A4" s="52"/>
      <c r="B4" s="53"/>
      <c r="C4" s="152" t="str">
        <f t="shared" ref="C4:C10" si="0" xml:space="preserve"> IF(B4="","",setValueToTime(B4))</f>
        <v/>
      </c>
      <c r="D4" s="54"/>
      <c r="E4" s="226"/>
      <c r="F4" s="227"/>
      <c r="G4" s="50"/>
    </row>
    <row r="5" spans="1:7" s="51" customFormat="1">
      <c r="A5" s="52"/>
      <c r="B5" s="53"/>
      <c r="C5" s="152" t="str">
        <f t="shared" si="0"/>
        <v/>
      </c>
      <c r="D5" s="54"/>
      <c r="E5" s="226"/>
      <c r="F5" s="227"/>
      <c r="G5" s="50"/>
    </row>
    <row r="6" spans="1:7" s="51" customFormat="1">
      <c r="A6" s="52"/>
      <c r="B6" s="53"/>
      <c r="C6" s="152" t="str">
        <f t="shared" si="0"/>
        <v/>
      </c>
      <c r="D6" s="54"/>
      <c r="E6" s="226"/>
      <c r="F6" s="227"/>
      <c r="G6" s="50"/>
    </row>
    <row r="7" spans="1:7" s="51" customFormat="1">
      <c r="A7" s="53"/>
      <c r="B7" s="53"/>
      <c r="C7" s="153"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ht="15" thickBot="1">
      <c r="A10" s="55"/>
      <c r="B10" s="55"/>
      <c r="C10" s="154" t="str">
        <f t="shared" si="0"/>
        <v/>
      </c>
      <c r="D10" s="56"/>
      <c r="E10" s="228"/>
      <c r="F10" s="229"/>
      <c r="G10" s="50"/>
    </row>
    <row r="11" spans="1:7" s="51" customFormat="1" ht="15" thickBot="1">
      <c r="A11" s="161" t="s">
        <v>27</v>
      </c>
      <c r="B11" s="82">
        <f>SUM(B3:B10)</f>
        <v>0</v>
      </c>
      <c r="C11" s="161" t="str">
        <f xml:space="preserve"> setValueToTime(B11)</f>
        <v>0h</v>
      </c>
      <c r="D11" s="120"/>
      <c r="E11" s="236"/>
      <c r="F11" s="237"/>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2021-01-28T15:32:05Z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