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B36" i="12"/>
  <c r="C35" i="12"/>
  <c r="C34" i="12"/>
  <c r="C33" i="12"/>
  <c r="C32" i="12"/>
  <c r="C31"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C42" i="10"/>
  <c r="C17" i="12"/>
  <c r="C16" i="12"/>
  <c r="C30" i="12"/>
  <c r="C29" i="12"/>
  <c r="C28" i="12"/>
  <c r="C24" i="12"/>
  <c r="C36" i="12"/>
  <c r="C5" i="10"/>
  <c r="C4" i="10"/>
  <c r="C17" i="10"/>
  <c r="C16" i="10"/>
  <c r="C29" i="10"/>
  <c r="C28" i="10"/>
  <c r="C41" i="10"/>
  <c r="C40" i="10"/>
  <c r="C12" i="10"/>
  <c r="C24" i="10"/>
  <c r="C36" i="10"/>
  <c r="C48" i="10"/>
  <c r="B60" i="10" l="1"/>
  <c r="C59" i="10"/>
  <c r="C58" i="10"/>
  <c r="C57" i="10"/>
  <c r="C56" i="10"/>
  <c r="C55" i="10"/>
  <c r="B72" i="10"/>
  <c r="C71" i="10"/>
  <c r="C70" i="10"/>
  <c r="C69" i="10"/>
  <c r="C68" i="10"/>
  <c r="C67" i="10"/>
  <c r="C66" i="10"/>
  <c r="B48" i="12"/>
  <c r="C47" i="12"/>
  <c r="C46" i="12"/>
  <c r="C45" i="12"/>
  <c r="C44" i="12"/>
  <c r="C43" i="12"/>
  <c r="C42" i="12"/>
  <c r="C41" i="12"/>
  <c r="C40" i="12"/>
  <c r="C54" i="10"/>
  <c r="C53" i="10"/>
  <c r="C52" i="10"/>
  <c r="C65" i="10"/>
  <c r="C64" i="10"/>
  <c r="C60" i="10"/>
  <c r="C72" i="10"/>
  <c r="C48" i="12"/>
  <c r="B60" i="12" l="1"/>
  <c r="C59" i="12"/>
  <c r="C58" i="12"/>
  <c r="C57" i="12"/>
  <c r="C56" i="12"/>
  <c r="C55" i="12"/>
  <c r="C54" i="12"/>
  <c r="B72" i="12"/>
  <c r="C71" i="12"/>
  <c r="C70" i="12"/>
  <c r="C69" i="12"/>
  <c r="C68" i="12"/>
  <c r="C67" i="12"/>
  <c r="C66" i="12"/>
  <c r="C53" i="12"/>
  <c r="C52" i="12"/>
  <c r="C60" i="12"/>
  <c r="C65" i="12"/>
  <c r="C64" i="12"/>
  <c r="C72" i="12"/>
  <c r="B84" i="12" l="1"/>
  <c r="C83" i="12"/>
  <c r="C82" i="12"/>
  <c r="C81" i="12"/>
  <c r="C80" i="12"/>
  <c r="C79" i="12"/>
  <c r="C78" i="12"/>
  <c r="B96" i="12"/>
  <c r="C95" i="12"/>
  <c r="C94" i="12"/>
  <c r="C93" i="12"/>
  <c r="C92" i="12"/>
  <c r="C91" i="12"/>
  <c r="C90" i="12"/>
  <c r="C77" i="12"/>
  <c r="C76" i="12"/>
  <c r="C84" i="12"/>
  <c r="C89" i="12"/>
  <c r="C88" i="12"/>
  <c r="C96" i="12"/>
  <c r="B108" i="12" l="1"/>
  <c r="C107" i="12"/>
  <c r="C106" i="12"/>
  <c r="C105" i="12"/>
  <c r="C104" i="12"/>
  <c r="C103" i="12"/>
  <c r="C102" i="12"/>
  <c r="C101" i="12"/>
  <c r="C100" i="12"/>
  <c r="C108" i="12"/>
  <c r="B120" i="12" l="1"/>
  <c r="C119" i="12"/>
  <c r="C118" i="12"/>
  <c r="C117" i="12"/>
  <c r="C116" i="12"/>
  <c r="C115" i="12"/>
  <c r="B84" i="10"/>
  <c r="C83" i="10"/>
  <c r="C82" i="10"/>
  <c r="C81" i="10"/>
  <c r="C80" i="10"/>
  <c r="C79" i="10"/>
  <c r="C78" i="10"/>
  <c r="B96" i="10"/>
  <c r="C95" i="10"/>
  <c r="C94" i="10"/>
  <c r="C93" i="10"/>
  <c r="C92" i="10"/>
  <c r="C91" i="10"/>
  <c r="C90"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C138" i="10"/>
  <c r="C137" i="10"/>
  <c r="B156" i="10"/>
  <c r="C155" i="10"/>
  <c r="C154" i="10"/>
  <c r="C153" i="10"/>
  <c r="C152" i="10"/>
  <c r="C151" i="10"/>
  <c r="C150" i="10"/>
  <c r="C149" i="10"/>
  <c r="B132" i="12"/>
  <c r="C131" i="12"/>
  <c r="C130" i="12"/>
  <c r="C129" i="12"/>
  <c r="C128" i="12"/>
  <c r="C127" i="12"/>
  <c r="C126" i="12"/>
  <c r="C125" i="12"/>
  <c r="C114" i="12"/>
  <c r="C113" i="12"/>
  <c r="C112" i="12"/>
  <c r="C120" i="12"/>
  <c r="C125" i="10"/>
  <c r="C124" i="10"/>
  <c r="C132" i="10"/>
  <c r="C136" i="10"/>
  <c r="C144" i="10"/>
  <c r="C148" i="10"/>
  <c r="C156" i="10"/>
  <c r="C124" i="12"/>
  <c r="C132" i="12"/>
  <c r="C101" i="10"/>
  <c r="C100" i="10"/>
  <c r="C108" i="10"/>
  <c r="C113" i="10"/>
  <c r="C112" i="10"/>
  <c r="C120" i="10"/>
  <c r="C77" i="10"/>
  <c r="C84" i="10"/>
  <c r="C76" i="10"/>
  <c r="C89" i="10"/>
  <c r="C96" i="10"/>
  <c r="C88" i="10"/>
  <c r="B144" i="12" l="1"/>
  <c r="C143" i="12"/>
  <c r="C142" i="12"/>
  <c r="C141" i="12"/>
  <c r="C140" i="12"/>
  <c r="C139" i="12"/>
  <c r="C138" i="12"/>
  <c r="C137" i="12"/>
  <c r="C136" i="12"/>
  <c r="C144" i="12"/>
  <c r="B156" i="12" l="1"/>
  <c r="C155" i="12"/>
  <c r="C154" i="12"/>
  <c r="C153" i="12"/>
  <c r="C152" i="12"/>
  <c r="C151" i="12"/>
  <c r="C150" i="12"/>
  <c r="C149" i="12"/>
  <c r="C148" i="12"/>
  <c r="C156" i="12"/>
  <c r="B168" i="12" l="1"/>
  <c r="C167" i="12"/>
  <c r="C166" i="12"/>
  <c r="C165" i="12"/>
  <c r="C164" i="12"/>
  <c r="C163" i="12"/>
  <c r="C162" i="12"/>
  <c r="C161" i="12"/>
  <c r="C160" i="12"/>
  <c r="C168" i="12"/>
  <c r="B180" i="12" l="1"/>
  <c r="C179" i="12"/>
  <c r="C178" i="12"/>
  <c r="C177" i="12"/>
  <c r="C176" i="12"/>
  <c r="C175" i="12"/>
  <c r="C174" i="12"/>
  <c r="C172" i="12"/>
  <c r="C173" i="12"/>
  <c r="C180" i="12"/>
  <c r="B192" i="12" l="1"/>
  <c r="C191" i="12"/>
  <c r="C190" i="12"/>
  <c r="C189" i="12"/>
  <c r="C188" i="12"/>
  <c r="C187" i="12"/>
  <c r="C186" i="12"/>
  <c r="B204" i="12"/>
  <c r="C203" i="12"/>
  <c r="C202" i="12"/>
  <c r="C201" i="12"/>
  <c r="C200" i="12"/>
  <c r="C199" i="12"/>
  <c r="B216" i="12"/>
  <c r="C215" i="12"/>
  <c r="C214" i="12"/>
  <c r="C213" i="12"/>
  <c r="C212" i="12"/>
  <c r="C197" i="12"/>
  <c r="C204" i="12"/>
  <c r="C192" i="12"/>
  <c r="C216" i="12"/>
  <c r="C185" i="12"/>
  <c r="C209" i="12"/>
  <c r="C196" i="12"/>
  <c r="C210" i="12"/>
  <c r="C211" i="12"/>
  <c r="C198" i="12"/>
  <c r="C208" i="12"/>
  <c r="C184" i="12"/>
  <c r="B168" i="10" l="1"/>
  <c r="C167" i="10"/>
  <c r="C166" i="10"/>
  <c r="C165" i="10"/>
  <c r="C164" i="10"/>
  <c r="C163" i="10"/>
  <c r="C162" i="10"/>
  <c r="B180" i="10"/>
  <c r="C179" i="10"/>
  <c r="C178" i="10"/>
  <c r="C177" i="10"/>
  <c r="C176" i="10"/>
  <c r="C175" i="10"/>
  <c r="C174" i="10"/>
  <c r="C173" i="10"/>
  <c r="B192" i="10"/>
  <c r="C191" i="10"/>
  <c r="C190" i="10"/>
  <c r="C189" i="10"/>
  <c r="C188" i="10"/>
  <c r="C187" i="10"/>
  <c r="B204" i="10"/>
  <c r="C203" i="10"/>
  <c r="C202" i="10"/>
  <c r="C201" i="10"/>
  <c r="C200" i="10"/>
  <c r="C199" i="10"/>
  <c r="C198" i="10"/>
  <c r="C197" i="10"/>
  <c r="B216" i="10"/>
  <c r="C215" i="10"/>
  <c r="C214" i="10"/>
  <c r="C213" i="10"/>
  <c r="C212" i="10"/>
  <c r="C211" i="10"/>
  <c r="B228" i="10"/>
  <c r="C227" i="10"/>
  <c r="C226" i="10"/>
  <c r="C225" i="10"/>
  <c r="C224" i="10"/>
  <c r="C223" i="10"/>
  <c r="C222" i="10"/>
  <c r="B240" i="10"/>
  <c r="C239" i="10"/>
  <c r="C238" i="10"/>
  <c r="C237" i="10"/>
  <c r="C236" i="10"/>
  <c r="C235" i="10"/>
  <c r="C234" i="10"/>
  <c r="C209" i="10"/>
  <c r="C180" i="10"/>
  <c r="C232" i="10"/>
  <c r="C192" i="10"/>
  <c r="C161" i="10"/>
  <c r="C184" i="10"/>
  <c r="C186" i="10"/>
  <c r="C172" i="10"/>
  <c r="C168" i="10"/>
  <c r="C196" i="10"/>
  <c r="C233" i="10"/>
  <c r="C216" i="10"/>
  <c r="C208" i="10"/>
  <c r="C240" i="10"/>
  <c r="C228" i="10"/>
  <c r="C185" i="10"/>
  <c r="C160" i="10"/>
  <c r="C210" i="10"/>
  <c r="C204" i="10"/>
  <c r="B228" i="12" l="1"/>
  <c r="C227" i="12"/>
  <c r="C226" i="12"/>
  <c r="C225" i="12"/>
  <c r="C224" i="12"/>
  <c r="C223" i="12"/>
  <c r="B240" i="12"/>
  <c r="C239" i="12"/>
  <c r="C238" i="12"/>
  <c r="C237" i="12"/>
  <c r="C236" i="12"/>
  <c r="C235" i="12"/>
  <c r="C234" i="12"/>
  <c r="C222" i="12"/>
  <c r="C232" i="12"/>
  <c r="C228" i="12"/>
  <c r="C240" i="12"/>
  <c r="C220" i="12"/>
  <c r="C233" i="12"/>
  <c r="C221" i="12"/>
  <c r="B252" i="12" l="1"/>
  <c r="C251" i="12"/>
  <c r="C250" i="12"/>
  <c r="C249" i="12"/>
  <c r="C248" i="12"/>
  <c r="C247" i="12"/>
  <c r="C246" i="12"/>
  <c r="C244" i="12"/>
  <c r="C245" i="12"/>
  <c r="C252" i="12"/>
  <c r="B264" i="12" l="1"/>
  <c r="C263" i="12"/>
  <c r="C262" i="12"/>
  <c r="C261" i="12"/>
  <c r="C260" i="12"/>
  <c r="C257" i="12"/>
  <c r="C264" i="12"/>
  <c r="C259" i="12"/>
  <c r="C258" i="12"/>
  <c r="C256" i="12"/>
  <c r="B252" i="10" l="1"/>
  <c r="C251" i="10"/>
  <c r="C250" i="10"/>
  <c r="C249" i="10"/>
  <c r="C248" i="10"/>
  <c r="C247" i="10"/>
  <c r="C246" i="10"/>
  <c r="B264" i="10"/>
  <c r="C263" i="10"/>
  <c r="C262" i="10"/>
  <c r="C261" i="10"/>
  <c r="C260" i="10"/>
  <c r="C259" i="10"/>
  <c r="C258" i="10"/>
  <c r="C257" i="10"/>
  <c r="B276" i="10"/>
  <c r="C275" i="10"/>
  <c r="C274" i="10"/>
  <c r="C273" i="10"/>
  <c r="C272" i="10"/>
  <c r="C271" i="10"/>
  <c r="B288" i="10"/>
  <c r="C287" i="10"/>
  <c r="C286" i="10"/>
  <c r="C285" i="10"/>
  <c r="C284" i="10"/>
  <c r="C283" i="10"/>
  <c r="C245" i="10"/>
  <c r="C276" i="10"/>
  <c r="C252" i="10"/>
  <c r="C264" i="10"/>
  <c r="C288" i="10"/>
  <c r="C269" i="10"/>
  <c r="C268" i="10"/>
  <c r="C244" i="10"/>
  <c r="C280" i="10"/>
  <c r="C281" i="10"/>
  <c r="C270" i="10"/>
  <c r="C282" i="10"/>
  <c r="C256" i="10"/>
  <c r="B276" i="12" l="1"/>
  <c r="C275" i="12"/>
  <c r="C274" i="12"/>
  <c r="C273" i="12"/>
  <c r="C272" i="12"/>
  <c r="C271" i="12"/>
  <c r="C270" i="12"/>
  <c r="B288" i="12"/>
  <c r="C287" i="12"/>
  <c r="C286" i="12"/>
  <c r="C285" i="12"/>
  <c r="B300" i="10"/>
  <c r="C299" i="10"/>
  <c r="C298" i="10"/>
  <c r="C297" i="10"/>
  <c r="C296" i="10"/>
  <c r="C295" i="10"/>
  <c r="C294" i="10"/>
  <c r="B312" i="10"/>
  <c r="C311" i="10"/>
  <c r="C310" i="10"/>
  <c r="C309" i="10"/>
  <c r="C308" i="10"/>
  <c r="C268" i="12"/>
  <c r="C304" i="10"/>
  <c r="C269" i="12"/>
  <c r="C284" i="12"/>
  <c r="C281" i="12"/>
  <c r="C312" i="10"/>
  <c r="C282" i="12"/>
  <c r="C305" i="10"/>
  <c r="C276" i="12"/>
  <c r="C288" i="12"/>
  <c r="C306" i="10"/>
  <c r="C307" i="10"/>
  <c r="C280" i="12"/>
  <c r="C300" i="10"/>
  <c r="C283"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<sst xmlns="http://schemas.openxmlformats.org/spreadsheetml/2006/main" count="1020" uniqueCount="184">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</sst>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13" zoomScale="55" zoomScaleNormal="55" zoomScaleSheetLayoutView="10" zoomScalePageLayoutView="10" workbookViewId="0">
      <selection activeCell="C51" sqref="C51:C52"/>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33" t="s">
        <v>29</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9" t="str">
        <f>E96</f>
        <v>253h30min</v>
      </c>
      <c r="H9" s="229"/>
      <c r="I9" s="229"/>
      <c r="J9" s="229"/>
      <c r="K9" s="229"/>
      <c r="L9" s="229"/>
      <c r="M9" s="229"/>
      <c r="N9" s="229"/>
      <c r="O9" s="229"/>
      <c r="P9" s="229"/>
      <c r="Q9" s="229"/>
      <c r="R9" s="229"/>
      <c r="S9" s="229"/>
      <c r="T9" s="229"/>
      <c r="U9" s="229"/>
      <c r="V9" s="118"/>
      <c r="W9" s="228" t="s">
        <v>21</v>
      </c>
      <c r="X9" s="228"/>
      <c r="Y9" s="228"/>
      <c r="Z9" s="228"/>
      <c r="AA9" s="228"/>
      <c r="AB9" s="228"/>
      <c r="AC9" s="228"/>
      <c r="AD9" s="228"/>
      <c r="AE9" s="228"/>
      <c r="AF9" s="228"/>
      <c r="AG9" s="228"/>
      <c r="AH9" s="229" t="str">
        <f>E98</f>
        <v>50h45min</v>
      </c>
      <c r="AI9" s="229"/>
      <c r="AJ9" s="229"/>
      <c r="AK9" s="229"/>
      <c r="AL9" s="229"/>
      <c r="AM9" s="229"/>
      <c r="AN9" s="229"/>
      <c r="AO9" s="229"/>
      <c r="AP9" s="229"/>
      <c r="AQ9" s="229"/>
      <c r="AR9" s="229"/>
      <c r="AS9" s="229"/>
      <c r="AT9" s="229"/>
      <c r="AU9" s="229"/>
      <c r="AV9" s="229"/>
      <c r="AW9" s="229"/>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31"/>
      <c r="D11" s="231"/>
      <c r="E11" s="231"/>
      <c r="F11" s="227" t="s">
        <v>71</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71</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32"/>
      <c r="D12" s="232"/>
      <c r="E12" s="232"/>
      <c r="F12" s="226" t="s">
        <v>74</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t="s">
        <v>75</v>
      </c>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22" t="s">
        <v>6</v>
      </c>
      <c r="D13" s="143"/>
      <c r="E13" s="224"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23"/>
      <c r="D14" s="144"/>
      <c r="E14" s="225"/>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9"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20"/>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9"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20"/>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9"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21"/>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9"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21"/>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9"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20"/>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9"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21"/>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9"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21"/>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9"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21"/>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9"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21"/>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
      </c>
      <c r="C33" s="219"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21"/>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9"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21"/>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9"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21"/>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9"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21"/>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9"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21"/>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9"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21"/>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9"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21"/>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9"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21"/>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9"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20"/>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9"/>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21"/>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9"/>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20"/>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9"/>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21"/>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9"/>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20"/>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9"/>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20"/>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9"/>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21"/>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9"/>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20"/>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9"/>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20"/>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9"/>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21"/>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9"/>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20"/>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9"/>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21"/>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9"/>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20"/>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9"/>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20"/>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9"/>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21"/>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9"/>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20"/>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9"/>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20"/>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9"/>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21"/>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9"/>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20"/>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9"/>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21"/>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9"/>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20"/>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9"/>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20"/>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9"/>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21"/>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11" t="s">
        <v>8</v>
      </c>
      <c r="D95" s="212"/>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13"/>
      <c r="D96" s="214"/>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5" t="s">
        <v>9</v>
      </c>
      <c r="D97" s="216"/>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7"/>
      <c r="D98" s="218"/>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9" activePane="bottomLeft" state="frozen"/>
      <selection activeCell="BC13" sqref="BC13"/>
      <selection pane="bottomLeft" activeCell="G313" sqref="G313"/>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26</v>
      </c>
      <c r="C2" s="162"/>
      <c r="D2" s="81" t="s">
        <v>14</v>
      </c>
      <c r="E2" s="93">
        <v>44246</v>
      </c>
      <c r="F2" s="125" t="s">
        <v>75</v>
      </c>
      <c r="G2" s="45"/>
    </row>
    <row r="3" spans="1:7" s="46" customFormat="1" ht="30" customHeight="1" thickBot="1">
      <c r="A3" s="79" t="s">
        <v>4</v>
      </c>
      <c r="B3" s="149" t="s">
        <v>38</v>
      </c>
      <c r="C3" s="150"/>
      <c r="D3" s="79" t="s">
        <v>12</v>
      </c>
      <c r="E3" s="237" t="s">
        <v>13</v>
      </c>
      <c r="F3" s="238"/>
      <c r="G3" s="45"/>
    </row>
    <row r="4" spans="1:7" s="51" customFormat="1">
      <c r="A4" s="47" t="s">
        <v>66</v>
      </c>
      <c r="B4" s="48">
        <v>33</v>
      </c>
      <c r="C4" s="151" t="str">
        <f xml:space="preserve"> IF(B4="","",setValueToTime(B4))</f>
        <v>2h45min</v>
      </c>
      <c r="D4" s="165" t="s">
        <v>176</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25</v>
      </c>
      <c r="C14" s="162"/>
      <c r="D14" s="81" t="s">
        <v>14</v>
      </c>
      <c r="E14" s="93">
        <v>44246</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117</v>
      </c>
      <c r="B16" s="48">
        <v>33</v>
      </c>
      <c r="C16" s="151" t="str">
        <f xml:space="preserve"> IF(B16="","",setValueToTime(B16))</f>
        <v>2h45min</v>
      </c>
      <c r="D16" s="165" t="s">
        <v>175</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24</v>
      </c>
      <c r="C26" s="162"/>
      <c r="D26" s="81" t="s">
        <v>14</v>
      </c>
      <c r="E26" s="93">
        <v>44245</v>
      </c>
      <c r="F26" s="125" t="s">
        <v>75</v>
      </c>
      <c r="G26" s="45"/>
    </row>
    <row r="27" spans="1:7" s="46" customFormat="1" ht="30" customHeight="1" thickBot="1">
      <c r="A27" s="79" t="s">
        <v>4</v>
      </c>
      <c r="B27" s="149" t="s">
        <v>38</v>
      </c>
      <c r="C27" s="150"/>
      <c r="D27" s="79" t="s">
        <v>12</v>
      </c>
      <c r="E27" s="237" t="s">
        <v>13</v>
      </c>
      <c r="F27" s="238"/>
      <c r="G27" s="45"/>
    </row>
    <row r="28" spans="1:7" s="51" customFormat="1">
      <c r="A28" s="47" t="s">
        <v>117</v>
      </c>
      <c r="B28" s="48">
        <v>33</v>
      </c>
      <c r="C28" s="151" t="str">
        <f xml:space="preserve"> IF(B28="","",setValueToTime(B28))</f>
        <v>2h45min</v>
      </c>
      <c r="D28" s="165" t="s">
        <v>174</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23</v>
      </c>
      <c r="C38" s="162"/>
      <c r="D38" s="81" t="s">
        <v>14</v>
      </c>
      <c r="E38" s="93">
        <v>44245</v>
      </c>
      <c r="F38" s="125" t="s">
        <v>74</v>
      </c>
      <c r="G38" s="45"/>
    </row>
    <row r="39" spans="1:7" s="46" customFormat="1" ht="30" customHeight="1" thickBot="1">
      <c r="A39" s="79" t="s">
        <v>4</v>
      </c>
      <c r="B39" s="149" t="s">
        <v>38</v>
      </c>
      <c r="C39" s="150"/>
      <c r="D39" s="79" t="s">
        <v>12</v>
      </c>
      <c r="E39" s="237" t="s">
        <v>13</v>
      </c>
      <c r="F39" s="238"/>
      <c r="G39" s="45"/>
    </row>
    <row r="40" spans="1:7" s="51" customFormat="1">
      <c r="A40" s="47" t="s">
        <v>117</v>
      </c>
      <c r="B40" s="48">
        <v>42</v>
      </c>
      <c r="C40" s="151" t="str">
        <f xml:space="preserve"> IF(B40="","",setValueToTime(B40))</f>
        <v>3h30min</v>
      </c>
      <c r="D40" s="165" t="s">
        <v>173</v>
      </c>
      <c r="E40" s="239"/>
      <c r="F40" s="240"/>
      <c r="G40" s="50"/>
    </row>
    <row r="41" spans="1:7" s="51" customFormat="1">
      <c r="A41" s="52" t="s">
        <v>15</v>
      </c>
      <c r="B41" s="53">
        <v>3</v>
      </c>
      <c r="C41" s="152" t="str">
        <f t="shared" ref="C41:C47" si="3" xml:space="preserve"> IF(B41="","",setValueToTime(B41))</f>
        <v>0h15min</v>
      </c>
      <c r="D41" s="166" t="s">
        <v>151</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22</v>
      </c>
      <c r="C50" s="162"/>
      <c r="D50" s="81" t="s">
        <v>14</v>
      </c>
      <c r="E50" s="93">
        <v>44244</v>
      </c>
      <c r="F50" s="125" t="s">
        <v>75</v>
      </c>
      <c r="G50" s="45"/>
    </row>
    <row r="51" spans="1:7" s="46" customFormat="1" ht="30" customHeight="1" thickBot="1">
      <c r="A51" s="79" t="s">
        <v>4</v>
      </c>
      <c r="B51" s="149" t="s">
        <v>38</v>
      </c>
      <c r="C51" s="150"/>
      <c r="D51" s="79" t="s">
        <v>12</v>
      </c>
      <c r="E51" s="237" t="s">
        <v>13</v>
      </c>
      <c r="F51" s="238"/>
      <c r="G51" s="45"/>
    </row>
    <row r="52" spans="1:7" s="51" customFormat="1">
      <c r="A52" s="47" t="s">
        <v>50</v>
      </c>
      <c r="B52" s="48">
        <v>18</v>
      </c>
      <c r="C52" s="151" t="str">
        <f xml:space="preserve"> IF(B52="","",setValueToTime(B52))</f>
        <v>1h30min</v>
      </c>
      <c r="D52" s="165" t="s">
        <v>170</v>
      </c>
      <c r="E52" s="239"/>
      <c r="F52" s="240"/>
      <c r="G52" s="50"/>
    </row>
    <row r="53" spans="1:7" s="51" customFormat="1">
      <c r="A53" s="52" t="s">
        <v>117</v>
      </c>
      <c r="B53" s="53">
        <v>15</v>
      </c>
      <c r="C53" s="152" t="str">
        <f t="shared" ref="C53:C59" si="4" xml:space="preserve"> IF(B53="","",setValueToTime(B53))</f>
        <v>1h15min</v>
      </c>
      <c r="D53" s="166" t="s">
        <v>171</v>
      </c>
      <c r="E53" s="241"/>
      <c r="F53" s="242"/>
      <c r="G53" s="50"/>
    </row>
    <row r="54" spans="1:7" s="51" customFormat="1">
      <c r="A54" s="52" t="s">
        <v>15</v>
      </c>
      <c r="B54" s="53">
        <v>3</v>
      </c>
      <c r="C54" s="152" t="str">
        <f t="shared" si="4"/>
        <v>0h15min</v>
      </c>
      <c r="D54" s="166" t="s">
        <v>106</v>
      </c>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21</v>
      </c>
      <c r="C62" s="162"/>
      <c r="D62" s="81" t="s">
        <v>14</v>
      </c>
      <c r="E62" s="93">
        <v>44244</v>
      </c>
      <c r="F62" s="125" t="s">
        <v>74</v>
      </c>
      <c r="G62" s="45"/>
    </row>
    <row r="63" spans="1:7" s="46" customFormat="1" ht="30" customHeight="1" thickBot="1">
      <c r="A63" s="79" t="s">
        <v>4</v>
      </c>
      <c r="B63" s="149" t="s">
        <v>38</v>
      </c>
      <c r="C63" s="150"/>
      <c r="D63" s="79" t="s">
        <v>12</v>
      </c>
      <c r="E63" s="237" t="s">
        <v>13</v>
      </c>
      <c r="F63" s="238"/>
      <c r="G63" s="45"/>
    </row>
    <row r="64" spans="1:7" s="51" customFormat="1">
      <c r="A64" s="47" t="s">
        <v>165</v>
      </c>
      <c r="B64" s="48">
        <v>42</v>
      </c>
      <c r="C64" s="151" t="str">
        <f xml:space="preserve"> IF(B64="","",setValueToTime(B64))</f>
        <v>3h30min</v>
      </c>
      <c r="D64" s="165" t="s">
        <v>169</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20</v>
      </c>
      <c r="C74" s="162"/>
      <c r="D74" s="81" t="s">
        <v>14</v>
      </c>
      <c r="E74" s="93">
        <v>44239</v>
      </c>
      <c r="F74" s="125" t="s">
        <v>75</v>
      </c>
      <c r="G74" s="45"/>
    </row>
    <row r="75" spans="1:7" s="46" customFormat="1" ht="30" customHeight="1" thickBot="1">
      <c r="A75" s="79" t="s">
        <v>4</v>
      </c>
      <c r="B75" s="149" t="s">
        <v>38</v>
      </c>
      <c r="C75" s="150"/>
      <c r="D75" s="79" t="s">
        <v>12</v>
      </c>
      <c r="E75" s="237" t="s">
        <v>13</v>
      </c>
      <c r="F75" s="238"/>
      <c r="G75" s="45"/>
    </row>
    <row r="76" spans="1:7" s="51" customFormat="1" ht="27">
      <c r="A76" s="47" t="s">
        <v>165</v>
      </c>
      <c r="B76" s="48">
        <v>34</v>
      </c>
      <c r="C76" s="151" t="str">
        <f xml:space="preserve"> IF(B76="","",setValueToTime(B76))</f>
        <v>2h50min</v>
      </c>
      <c r="D76" s="165" t="s">
        <v>166</v>
      </c>
      <c r="E76" s="239"/>
      <c r="F76" s="240"/>
      <c r="G76" s="50"/>
    </row>
    <row r="77" spans="1:7" s="51" customFormat="1">
      <c r="A77" s="52" t="s">
        <v>15</v>
      </c>
      <c r="B77" s="53">
        <v>2</v>
      </c>
      <c r="C77" s="152" t="str">
        <f t="shared" ref="C77:C83" si="6" xml:space="preserve"> IF(B77="","",setValueToTime(B77))</f>
        <v>0h10min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19</v>
      </c>
      <c r="C86" s="162"/>
      <c r="D86" s="81" t="s">
        <v>14</v>
      </c>
      <c r="E86" s="93">
        <v>44239</v>
      </c>
      <c r="F86" s="125" t="s">
        <v>74</v>
      </c>
      <c r="G86" s="45"/>
    </row>
    <row r="87" spans="1:7" s="46" customFormat="1" ht="30" customHeight="1" thickBot="1">
      <c r="A87" s="79" t="s">
        <v>4</v>
      </c>
      <c r="B87" s="149" t="s">
        <v>38</v>
      </c>
      <c r="C87" s="150"/>
      <c r="D87" s="79" t="s">
        <v>12</v>
      </c>
      <c r="E87" s="237" t="s">
        <v>13</v>
      </c>
      <c r="F87" s="238"/>
      <c r="G87" s="45"/>
    </row>
    <row r="88" spans="1:7" s="51" customFormat="1">
      <c r="A88" s="47" t="s">
        <v>50</v>
      </c>
      <c r="B88" s="48">
        <v>33</v>
      </c>
      <c r="C88" s="151" t="str">
        <f xml:space="preserve"> IF(B88="","",setValueToTime(B88))</f>
        <v>2h45min</v>
      </c>
      <c r="D88" s="165" t="s">
        <v>164</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18</v>
      </c>
      <c r="C98" s="162"/>
      <c r="D98" s="81" t="s">
        <v>14</v>
      </c>
      <c r="E98" s="93">
        <v>44238</v>
      </c>
      <c r="F98" s="125" t="s">
        <v>75</v>
      </c>
      <c r="G98" s="45"/>
    </row>
    <row r="99" spans="1:7" s="46" customFormat="1" ht="30" customHeight="1" thickBot="1">
      <c r="A99" s="79" t="s">
        <v>4</v>
      </c>
      <c r="B99" s="149" t="s">
        <v>38</v>
      </c>
      <c r="C99" s="150"/>
      <c r="D99" s="79" t="s">
        <v>12</v>
      </c>
      <c r="E99" s="237" t="s">
        <v>13</v>
      </c>
      <c r="F99" s="238"/>
      <c r="G99" s="45"/>
    </row>
    <row r="100" spans="1:7" s="51" customFormat="1">
      <c r="A100" s="47" t="s">
        <v>50</v>
      </c>
      <c r="B100" s="48">
        <v>33</v>
      </c>
      <c r="C100" s="151" t="str">
        <f xml:space="preserve"> IF(B100="","",setValueToTime(B100))</f>
        <v>2h45min</v>
      </c>
      <c r="D100" s="165" t="s">
        <v>161</v>
      </c>
      <c r="E100" s="239"/>
      <c r="F100" s="240"/>
      <c r="G100" s="50"/>
    </row>
    <row r="101" spans="1:7" s="51" customFormat="1">
      <c r="A101" s="52" t="s">
        <v>15</v>
      </c>
      <c r="B101" s="53">
        <v>3</v>
      </c>
      <c r="C101" s="152" t="str">
        <f t="shared" ref="C101:C107" si="8" xml:space="preserve"> IF(B101="","",setValueToTime(B101))</f>
        <v>0h15min</v>
      </c>
      <c r="D101" s="166" t="s">
        <v>151</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17</v>
      </c>
      <c r="C110" s="162"/>
      <c r="D110" s="81" t="s">
        <v>14</v>
      </c>
      <c r="E110" s="93">
        <v>44238</v>
      </c>
      <c r="F110" s="125" t="s">
        <v>74</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43</v>
      </c>
      <c r="C112" s="151" t="str">
        <f xml:space="preserve"> IF(B112="","",setValueToTime(B112))</f>
        <v>3h35min</v>
      </c>
      <c r="D112" s="165" t="s">
        <v>160</v>
      </c>
      <c r="E112" s="239"/>
      <c r="F112" s="240"/>
      <c r="G112" s="50"/>
    </row>
    <row r="113" spans="1:7" s="51" customFormat="1">
      <c r="A113" s="52" t="s">
        <v>15</v>
      </c>
      <c r="B113" s="53">
        <v>2</v>
      </c>
      <c r="C113" s="152" t="str">
        <f t="shared" ref="C113:C119" si="9" xml:space="preserve"> IF(B113="","",setValueToTime(B113))</f>
        <v>0h10min</v>
      </c>
      <c r="D113" s="166" t="s">
        <v>151</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45</v>
      </c>
      <c r="C120" s="110" t="str">
        <f xml:space="preserve"> setValueToTime(B120)</f>
        <v>3h45min</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16</v>
      </c>
      <c r="C122" s="162"/>
      <c r="D122" s="81" t="s">
        <v>14</v>
      </c>
      <c r="E122" s="93">
        <v>44237</v>
      </c>
      <c r="F122" s="125" t="s">
        <v>75</v>
      </c>
      <c r="G122" s="45"/>
    </row>
    <row r="123" spans="1:7" s="46" customFormat="1" ht="30" customHeight="1" thickBot="1">
      <c r="A123" s="79" t="s">
        <v>4</v>
      </c>
      <c r="B123" s="149" t="s">
        <v>38</v>
      </c>
      <c r="C123" s="150"/>
      <c r="D123" s="79" t="s">
        <v>12</v>
      </c>
      <c r="E123" s="237" t="s">
        <v>13</v>
      </c>
      <c r="F123" s="238"/>
      <c r="G123" s="45"/>
    </row>
    <row r="124" spans="1:7" s="51" customFormat="1">
      <c r="A124" s="47" t="s">
        <v>60</v>
      </c>
      <c r="B124" s="48">
        <v>33</v>
      </c>
      <c r="C124" s="151" t="str">
        <f xml:space="preserve"> IF(B124="","",setValueToTime(B124))</f>
        <v>2h45min</v>
      </c>
      <c r="D124" s="165" t="s">
        <v>144</v>
      </c>
      <c r="E124" s="239"/>
      <c r="F124" s="240"/>
      <c r="G124" s="50"/>
    </row>
    <row r="125" spans="1:7" s="51" customFormat="1">
      <c r="A125" s="52" t="s">
        <v>15</v>
      </c>
      <c r="B125" s="53">
        <v>3</v>
      </c>
      <c r="C125" s="152" t="str">
        <f t="shared" ref="C125:C131" si="10" xml:space="preserve"> IF(B125="","",setValueToTime(B125))</f>
        <v>0h15min</v>
      </c>
      <c r="D125" s="166" t="s">
        <v>145</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36</v>
      </c>
      <c r="C132" s="110" t="str">
        <f xml:space="preserve"> setValueToTime(B132)</f>
        <v>3h</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15</v>
      </c>
      <c r="C134" s="162"/>
      <c r="D134" s="81" t="s">
        <v>14</v>
      </c>
      <c r="E134" s="93">
        <v>44237</v>
      </c>
      <c r="F134" s="125" t="s">
        <v>74</v>
      </c>
      <c r="G134" s="45"/>
    </row>
    <row r="135" spans="1:7" s="46" customFormat="1" ht="30" customHeight="1" thickBot="1">
      <c r="A135" s="79" t="s">
        <v>4</v>
      </c>
      <c r="B135" s="149" t="s">
        <v>38</v>
      </c>
      <c r="C135" s="150"/>
      <c r="D135" s="79" t="s">
        <v>12</v>
      </c>
      <c r="E135" s="237" t="s">
        <v>13</v>
      </c>
      <c r="F135" s="238"/>
      <c r="G135" s="45"/>
    </row>
    <row r="136" spans="1:7" s="51" customFormat="1">
      <c r="A136" s="47" t="s">
        <v>60</v>
      </c>
      <c r="B136" s="48">
        <v>45</v>
      </c>
      <c r="C136" s="151" t="str">
        <f xml:space="preserve"> IF(B136="","",setValueToTime(B136))</f>
        <v>3h45min</v>
      </c>
      <c r="D136" s="165" t="s">
        <v>143</v>
      </c>
      <c r="E136" s="239"/>
      <c r="F136" s="240"/>
      <c r="G136" s="50"/>
    </row>
    <row r="137" spans="1:7" s="51" customFormat="1">
      <c r="A137" s="52"/>
      <c r="B137" s="53"/>
      <c r="C137" s="152" t="str">
        <f t="shared" ref="C137:C143" si="11" xml:space="preserve"> IF(B137="","",setValueToTime(B137))</f>
        <v/>
      </c>
      <c r="D137" s="54"/>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45</v>
      </c>
      <c r="C144" s="110" t="str">
        <f xml:space="preserve"> setValueToTime(B144)</f>
        <v>3h45min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14</v>
      </c>
      <c r="C146" s="162"/>
      <c r="D146" s="81" t="s">
        <v>14</v>
      </c>
      <c r="E146" s="93">
        <v>44235</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36</v>
      </c>
      <c r="C148" s="151" t="str">
        <f xml:space="preserve"> IF(B148="","",setValueToTime(B148))</f>
        <v>3h</v>
      </c>
      <c r="D148" s="165" t="s">
        <v>142</v>
      </c>
      <c r="E148" s="239"/>
      <c r="F148" s="240"/>
      <c r="G148" s="50"/>
    </row>
    <row r="149" spans="1:7" s="51" customFormat="1">
      <c r="A149" s="52"/>
      <c r="B149" s="53"/>
      <c r="C149" s="152" t="str">
        <f t="shared" ref="C149:C155" si="12" xml:space="preserve"> IF(B149="","",setValueToTime(B149))</f>
        <v/>
      </c>
      <c r="D149" s="54"/>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36</v>
      </c>
      <c r="C156" s="110" t="str">
        <f xml:space="preserve"> setValueToTime(B156)</f>
        <v>3h</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13</v>
      </c>
      <c r="C158" s="162"/>
      <c r="D158" s="81" t="s">
        <v>14</v>
      </c>
      <c r="E158" s="93">
        <v>44232</v>
      </c>
      <c r="F158" s="125" t="s">
        <v>75</v>
      </c>
      <c r="G158" s="45"/>
    </row>
    <row r="159" spans="1:7" s="46" customFormat="1" ht="30" customHeight="1" thickBot="1">
      <c r="A159" s="79" t="s">
        <v>4</v>
      </c>
      <c r="B159" s="149" t="s">
        <v>38</v>
      </c>
      <c r="C159" s="150"/>
      <c r="D159" s="79" t="s">
        <v>12</v>
      </c>
      <c r="E159" s="237" t="s">
        <v>13</v>
      </c>
      <c r="F159" s="238"/>
      <c r="G159" s="45"/>
    </row>
    <row r="160" spans="1:7" s="51" customFormat="1" ht="27">
      <c r="A160" s="47" t="s">
        <v>117</v>
      </c>
      <c r="B160" s="48">
        <v>33</v>
      </c>
      <c r="C160" s="151" t="str">
        <f xml:space="preserve"> IF(B160="","",setValueToTime(B160))</f>
        <v>2h45min</v>
      </c>
      <c r="D160" s="165" t="s">
        <v>124</v>
      </c>
      <c r="E160" s="239"/>
      <c r="F160" s="240"/>
      <c r="G160" s="50"/>
    </row>
    <row r="161" spans="1:7" s="51" customFormat="1">
      <c r="A161" s="52" t="s">
        <v>15</v>
      </c>
      <c r="B161" s="53">
        <v>3</v>
      </c>
      <c r="C161" s="152" t="str">
        <f t="shared" ref="C161:C167" si="13" xml:space="preserve"> IF(B161="","",setValueToTime(B161))</f>
        <v>0h15min</v>
      </c>
      <c r="D161" s="166" t="s">
        <v>114</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12</v>
      </c>
      <c r="C170" s="162"/>
      <c r="D170" s="81" t="s">
        <v>14</v>
      </c>
      <c r="E170" s="93">
        <v>44232</v>
      </c>
      <c r="F170" s="125" t="s">
        <v>74</v>
      </c>
      <c r="G170" s="45"/>
    </row>
    <row r="171" spans="1:7" s="46" customFormat="1" ht="30" customHeight="1" thickBot="1">
      <c r="A171" s="79" t="s">
        <v>4</v>
      </c>
      <c r="B171" s="149" t="s">
        <v>38</v>
      </c>
      <c r="C171" s="150"/>
      <c r="D171" s="79" t="s">
        <v>12</v>
      </c>
      <c r="E171" s="237" t="s">
        <v>13</v>
      </c>
      <c r="F171" s="238"/>
      <c r="G171" s="45"/>
    </row>
    <row r="172" spans="1:7" s="51" customFormat="1" ht="27">
      <c r="A172" s="47" t="s">
        <v>62</v>
      </c>
      <c r="B172" s="48">
        <v>36</v>
      </c>
      <c r="C172" s="151" t="str">
        <f xml:space="preserve"> IF(B172="","",setValueToTime(B172))</f>
        <v>3h</v>
      </c>
      <c r="D172" s="165" t="s">
        <v>123</v>
      </c>
      <c r="E172" s="239"/>
      <c r="F172" s="240"/>
      <c r="G172" s="50"/>
    </row>
    <row r="173" spans="1:7" s="51" customFormat="1">
      <c r="A173" s="52"/>
      <c r="B173" s="53"/>
      <c r="C173" s="152" t="str">
        <f t="shared" ref="C173:C179" si="14" xml:space="preserve"> IF(B173="","",setValueToTime(B173))</f>
        <v/>
      </c>
      <c r="D173" s="54"/>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36</v>
      </c>
      <c r="C180" s="110" t="str">
        <f xml:space="preserve"> setValueToTime(B180)</f>
        <v>3h</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11</v>
      </c>
      <c r="C182" s="162"/>
      <c r="D182" s="81" t="s">
        <v>14</v>
      </c>
      <c r="E182" s="93">
        <v>44231</v>
      </c>
      <c r="F182" s="125" t="s">
        <v>75</v>
      </c>
      <c r="G182" s="45"/>
    </row>
    <row r="183" spans="1:7" s="46" customFormat="1" ht="30" customHeight="1" thickBot="1">
      <c r="A183" s="79" t="s">
        <v>4</v>
      </c>
      <c r="B183" s="149" t="s">
        <v>38</v>
      </c>
      <c r="C183" s="150"/>
      <c r="D183" s="79" t="s">
        <v>12</v>
      </c>
      <c r="E183" s="237" t="s">
        <v>13</v>
      </c>
      <c r="F183" s="238"/>
      <c r="G183" s="45"/>
    </row>
    <row r="184" spans="1:7" s="51" customFormat="1">
      <c r="A184" s="47" t="s">
        <v>59</v>
      </c>
      <c r="B184" s="48">
        <v>18</v>
      </c>
      <c r="C184" s="151" t="str">
        <f xml:space="preserve"> IF(B184="","",setValueToTime(B184))</f>
        <v>1h30min</v>
      </c>
      <c r="D184" s="165" t="s">
        <v>120</v>
      </c>
      <c r="E184" s="239"/>
      <c r="F184" s="240"/>
      <c r="G184" s="50"/>
    </row>
    <row r="185" spans="1:7" s="51" customFormat="1" ht="27">
      <c r="A185" s="52" t="s">
        <v>62</v>
      </c>
      <c r="B185" s="53">
        <v>15</v>
      </c>
      <c r="C185" s="152" t="str">
        <f t="shared" ref="C185:C191" si="15" xml:space="preserve"> IF(B185="","",setValueToTime(B185))</f>
        <v>1h15min</v>
      </c>
      <c r="D185" s="166" t="s">
        <v>122</v>
      </c>
      <c r="E185" s="241"/>
      <c r="F185" s="242"/>
      <c r="G185" s="50"/>
    </row>
    <row r="186" spans="1:7" s="51" customFormat="1">
      <c r="A186" s="52" t="s">
        <v>15</v>
      </c>
      <c r="B186" s="53">
        <v>3</v>
      </c>
      <c r="C186" s="152" t="str">
        <f t="shared" si="15"/>
        <v>0h15min</v>
      </c>
      <c r="D186" s="166" t="s">
        <v>106</v>
      </c>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10</v>
      </c>
      <c r="C194" s="162"/>
      <c r="D194" s="81" t="s">
        <v>14</v>
      </c>
      <c r="E194" s="93">
        <v>44231</v>
      </c>
      <c r="F194" s="125" t="s">
        <v>74</v>
      </c>
      <c r="G194" s="45"/>
    </row>
    <row r="195" spans="1:7" s="46" customFormat="1" ht="30" customHeight="1" thickBot="1">
      <c r="A195" s="79" t="s">
        <v>4</v>
      </c>
      <c r="B195" s="149" t="s">
        <v>38</v>
      </c>
      <c r="C195" s="150"/>
      <c r="D195" s="79" t="s">
        <v>12</v>
      </c>
      <c r="E195" s="237" t="s">
        <v>13</v>
      </c>
      <c r="F195" s="238"/>
      <c r="G195" s="45"/>
    </row>
    <row r="196" spans="1:7" s="51" customFormat="1">
      <c r="A196" s="47" t="s">
        <v>59</v>
      </c>
      <c r="B196" s="48">
        <v>45</v>
      </c>
      <c r="C196" s="151" t="str">
        <f xml:space="preserve"> IF(B196="","",setValueToTime(B196))</f>
        <v>3h45min</v>
      </c>
      <c r="D196" s="165" t="s">
        <v>121</v>
      </c>
      <c r="E196" s="239"/>
      <c r="F196" s="240"/>
      <c r="G196" s="50"/>
    </row>
    <row r="197" spans="1:7" s="51" customFormat="1">
      <c r="A197" s="52"/>
      <c r="B197" s="53"/>
      <c r="C197" s="152" t="str">
        <f t="shared" ref="C197:C203" si="16" xml:space="preserve"> IF(B197="","",setValueToTime(B197))</f>
        <v/>
      </c>
      <c r="D197" s="54"/>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45</v>
      </c>
      <c r="C204" s="110" t="str">
        <f xml:space="preserve"> setValueToTime(B204)</f>
        <v>3h45min</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9</v>
      </c>
      <c r="C206" s="162"/>
      <c r="D206" s="81" t="s">
        <v>14</v>
      </c>
      <c r="E206" s="93">
        <v>44230</v>
      </c>
      <c r="F206" s="125" t="s">
        <v>75</v>
      </c>
      <c r="G206" s="45"/>
    </row>
    <row r="207" spans="1:7" s="46" customFormat="1" ht="30" customHeight="1" thickBot="1">
      <c r="A207" s="79" t="s">
        <v>4</v>
      </c>
      <c r="B207" s="149" t="s">
        <v>38</v>
      </c>
      <c r="C207" s="150"/>
      <c r="D207" s="79" t="s">
        <v>12</v>
      </c>
      <c r="E207" s="237" t="s">
        <v>13</v>
      </c>
      <c r="F207" s="238"/>
      <c r="G207" s="45"/>
    </row>
    <row r="208" spans="1:7" s="51" customFormat="1">
      <c r="A208" s="47" t="s">
        <v>60</v>
      </c>
      <c r="B208" s="48">
        <v>18</v>
      </c>
      <c r="C208" s="151" t="str">
        <f xml:space="preserve"> IF(B208="","",setValueToTime(B208))</f>
        <v>1h30min</v>
      </c>
      <c r="D208" s="165" t="s">
        <v>116</v>
      </c>
      <c r="E208" s="239"/>
      <c r="F208" s="240"/>
      <c r="G208" s="50"/>
    </row>
    <row r="209" spans="1:7" s="51" customFormat="1">
      <c r="A209" s="52" t="s">
        <v>59</v>
      </c>
      <c r="B209" s="53">
        <v>15</v>
      </c>
      <c r="C209" s="152" t="str">
        <f t="shared" ref="C209:C215" si="17" xml:space="preserve"> IF(B209="","",setValueToTime(B209))</f>
        <v>1h15min</v>
      </c>
      <c r="D209" s="166" t="s">
        <v>119</v>
      </c>
      <c r="E209" s="241"/>
      <c r="F209" s="242"/>
      <c r="G209" s="50"/>
    </row>
    <row r="210" spans="1:7" s="51" customFormat="1">
      <c r="A210" s="52" t="s">
        <v>15</v>
      </c>
      <c r="B210" s="53">
        <v>3</v>
      </c>
      <c r="C210" s="152" t="str">
        <f t="shared" si="17"/>
        <v>0h15min</v>
      </c>
      <c r="D210" s="166" t="s">
        <v>106</v>
      </c>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8</v>
      </c>
      <c r="C218" s="162"/>
      <c r="D218" s="81" t="s">
        <v>14</v>
      </c>
      <c r="E218" s="93">
        <v>44230</v>
      </c>
      <c r="F218" s="125" t="s">
        <v>74</v>
      </c>
      <c r="G218" s="45"/>
    </row>
    <row r="219" spans="1:7" s="46" customFormat="1" ht="30" customHeight="1" thickBot="1">
      <c r="A219" s="79" t="s">
        <v>4</v>
      </c>
      <c r="B219" s="149" t="s">
        <v>38</v>
      </c>
      <c r="C219" s="150"/>
      <c r="D219" s="79" t="s">
        <v>12</v>
      </c>
      <c r="E219" s="237" t="s">
        <v>13</v>
      </c>
      <c r="F219" s="238"/>
      <c r="G219" s="45"/>
    </row>
    <row r="220" spans="1:7" s="51" customFormat="1">
      <c r="A220" s="47" t="s">
        <v>56</v>
      </c>
      <c r="B220" s="48">
        <v>3</v>
      </c>
      <c r="C220" s="151"/>
      <c r="D220" s="165" t="s">
        <v>112</v>
      </c>
      <c r="E220" s="239"/>
      <c r="F220" s="240"/>
      <c r="G220" s="50"/>
    </row>
    <row r="221" spans="1:7" s="51" customFormat="1">
      <c r="A221" s="52" t="s">
        <v>60</v>
      </c>
      <c r="B221" s="53">
        <v>42</v>
      </c>
      <c r="C221" s="152"/>
      <c r="D221" s="166" t="s">
        <v>115</v>
      </c>
      <c r="E221" s="241"/>
      <c r="F221" s="242"/>
      <c r="G221" s="50"/>
    </row>
    <row r="222" spans="1:7" s="51" customFormat="1">
      <c r="A222" s="52"/>
      <c r="B222" s="53"/>
      <c r="C222" s="152" t="str">
        <f t="shared" ref="C222:C227" si="18" xml:space="preserve"> IF(B222="","",setValueToTime(B222))</f>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45</v>
      </c>
      <c r="C228" s="110" t="str">
        <f xml:space="preserve"> setValueToTime(B228)</f>
        <v>3h45min</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7</v>
      </c>
      <c r="C230" s="162"/>
      <c r="D230" s="81" t="s">
        <v>14</v>
      </c>
      <c r="E230" s="93">
        <v>44228</v>
      </c>
      <c r="F230" s="125" t="s">
        <v>74</v>
      </c>
      <c r="G230" s="45"/>
    </row>
    <row r="231" spans="1:7" s="46" customFormat="1" ht="30" customHeight="1" thickBot="1">
      <c r="A231" s="79" t="s">
        <v>4</v>
      </c>
      <c r="B231" s="149" t="s">
        <v>38</v>
      </c>
      <c r="C231" s="150"/>
      <c r="D231" s="79" t="s">
        <v>12</v>
      </c>
      <c r="E231" s="237" t="s">
        <v>13</v>
      </c>
      <c r="F231" s="238"/>
      <c r="G231" s="45"/>
    </row>
    <row r="232" spans="1:7" s="51" customFormat="1">
      <c r="A232" s="47" t="s">
        <v>56</v>
      </c>
      <c r="B232" s="48">
        <v>3</v>
      </c>
      <c r="C232" s="151" t="str">
        <f xml:space="preserve"> IF(B232="","",setValueToTime(B232))</f>
        <v>0h15min</v>
      </c>
      <c r="D232" s="165" t="s">
        <v>112</v>
      </c>
      <c r="E232" s="239"/>
      <c r="F232" s="240"/>
      <c r="G232" s="50"/>
    </row>
    <row r="233" spans="1:7" s="51" customFormat="1">
      <c r="A233" s="52" t="s">
        <v>60</v>
      </c>
      <c r="B233" s="53">
        <v>33</v>
      </c>
      <c r="C233" s="152" t="str">
        <f t="shared" ref="C233:C239" si="19" xml:space="preserve"> IF(B233="","",setValueToTime(B233))</f>
        <v>2h45min</v>
      </c>
      <c r="D233" s="166" t="s">
        <v>113</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36</v>
      </c>
      <c r="C240" s="110" t="str">
        <f xml:space="preserve"> setValueToTime(B240)</f>
        <v>3h</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6</v>
      </c>
      <c r="C242" s="162"/>
      <c r="D242" s="81" t="s">
        <v>14</v>
      </c>
      <c r="E242" s="93">
        <v>44225</v>
      </c>
      <c r="F242" s="125" t="s">
        <v>91</v>
      </c>
      <c r="G242" s="45"/>
    </row>
    <row r="243" spans="1:7" s="46" customFormat="1" ht="30" customHeight="1" thickBot="1">
      <c r="A243" s="79" t="s">
        <v>4</v>
      </c>
      <c r="B243" s="149" t="s">
        <v>38</v>
      </c>
      <c r="C243" s="150"/>
      <c r="D243" s="79" t="s">
        <v>12</v>
      </c>
      <c r="E243" s="237" t="s">
        <v>13</v>
      </c>
      <c r="F243" s="238"/>
      <c r="G243" s="45"/>
    </row>
    <row r="244" spans="1:7" s="51" customFormat="1">
      <c r="A244" s="47" t="s">
        <v>58</v>
      </c>
      <c r="B244" s="48">
        <v>33</v>
      </c>
      <c r="C244" s="151" t="str">
        <f xml:space="preserve"> IF(B244="","",setValueToTime(B244))</f>
        <v>2h45min</v>
      </c>
      <c r="D244" s="165" t="s">
        <v>96</v>
      </c>
      <c r="E244" s="239"/>
      <c r="F244" s="240"/>
      <c r="G244" s="50"/>
    </row>
    <row r="245" spans="1:7" s="51" customFormat="1">
      <c r="A245" s="52" t="s">
        <v>15</v>
      </c>
      <c r="B245" s="53">
        <v>3</v>
      </c>
      <c r="C245" s="152" t="str">
        <f t="shared" ref="C245:C251" si="20" xml:space="preserve"> IF(B245="","",setValueToTime(B245))</f>
        <v>0h15min</v>
      </c>
      <c r="D245" s="166" t="s">
        <v>94</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5</v>
      </c>
      <c r="C254" s="162"/>
      <c r="D254" s="81" t="s">
        <v>14</v>
      </c>
      <c r="E254" s="93">
        <v>44225</v>
      </c>
      <c r="F254" s="125" t="s">
        <v>86</v>
      </c>
      <c r="G254" s="45"/>
    </row>
    <row r="255" spans="1:7" s="46" customFormat="1" ht="30" customHeight="1" thickBot="1">
      <c r="A255" s="79" t="s">
        <v>4</v>
      </c>
      <c r="B255" s="149" t="s">
        <v>38</v>
      </c>
      <c r="C255" s="150"/>
      <c r="D255" s="79" t="s">
        <v>12</v>
      </c>
      <c r="E255" s="237" t="s">
        <v>13</v>
      </c>
      <c r="F255" s="238"/>
      <c r="G255" s="45"/>
    </row>
    <row r="256" spans="1:7" s="51" customFormat="1">
      <c r="A256" s="47" t="s">
        <v>58</v>
      </c>
      <c r="B256" s="48">
        <v>36</v>
      </c>
      <c r="C256" s="151" t="str">
        <f xml:space="preserve"> IF(B256="","",setValueToTime(B256))</f>
        <v>3h</v>
      </c>
      <c r="D256" s="165" t="s">
        <v>95</v>
      </c>
      <c r="E256" s="239"/>
      <c r="F256" s="240"/>
      <c r="G256" s="50"/>
    </row>
    <row r="257" spans="1:7" s="51" customFormat="1">
      <c r="A257" s="52"/>
      <c r="B257" s="53"/>
      <c r="C257" s="152" t="str">
        <f t="shared" ref="C257:C263" si="21" xml:space="preserve"> IF(B257="","",setValueToTime(B257))</f>
        <v/>
      </c>
      <c r="D257" s="54"/>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36</v>
      </c>
      <c r="C264" s="110" t="str">
        <f xml:space="preserve"> setValueToTime(B264)</f>
        <v>3h</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4</v>
      </c>
      <c r="C266" s="162"/>
      <c r="D266" s="81" t="s">
        <v>14</v>
      </c>
      <c r="E266" s="93">
        <v>44224</v>
      </c>
      <c r="F266" s="125" t="s">
        <v>91</v>
      </c>
      <c r="G266" s="45"/>
    </row>
    <row r="267" spans="1:7" s="46" customFormat="1" ht="30" customHeight="1" thickBot="1">
      <c r="A267" s="79" t="s">
        <v>4</v>
      </c>
      <c r="B267" s="149" t="s">
        <v>38</v>
      </c>
      <c r="C267" s="150"/>
      <c r="D267" s="79" t="s">
        <v>12</v>
      </c>
      <c r="E267" s="237" t="s">
        <v>13</v>
      </c>
      <c r="F267" s="238"/>
      <c r="G267" s="45"/>
    </row>
    <row r="268" spans="1:7" s="51" customFormat="1">
      <c r="A268" s="47" t="s">
        <v>50</v>
      </c>
      <c r="B268" s="48">
        <v>18</v>
      </c>
      <c r="C268" s="151" t="str">
        <f xml:space="preserve"> IF(B268="","",setValueToTime(B268))</f>
        <v>1h30min</v>
      </c>
      <c r="D268" s="165" t="s">
        <v>92</v>
      </c>
      <c r="E268" s="239"/>
      <c r="F268" s="240"/>
      <c r="G268" s="50"/>
    </row>
    <row r="269" spans="1:7" s="51" customFormat="1">
      <c r="A269" s="52" t="s">
        <v>58</v>
      </c>
      <c r="B269" s="53">
        <v>15</v>
      </c>
      <c r="C269" s="152" t="str">
        <f t="shared" ref="C269:C275" si="22" xml:space="preserve"> IF(B269="","",setValueToTime(B269))</f>
        <v>1h15min</v>
      </c>
      <c r="D269" s="166" t="s">
        <v>93</v>
      </c>
      <c r="E269" s="241"/>
      <c r="F269" s="242"/>
      <c r="G269" s="50"/>
    </row>
    <row r="270" spans="1:7" s="51" customFormat="1">
      <c r="A270" s="52" t="s">
        <v>15</v>
      </c>
      <c r="B270" s="53">
        <v>3</v>
      </c>
      <c r="C270" s="152" t="str">
        <f t="shared" si="22"/>
        <v>0h15min</v>
      </c>
      <c r="D270" s="166" t="s">
        <v>94</v>
      </c>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3</v>
      </c>
      <c r="C278" s="162"/>
      <c r="D278" s="81" t="s">
        <v>14</v>
      </c>
      <c r="E278" s="93">
        <v>44224</v>
      </c>
      <c r="F278" s="125" t="s">
        <v>86</v>
      </c>
      <c r="G278" s="45"/>
    </row>
    <row r="279" spans="1:7" s="46" customFormat="1" ht="30" customHeight="1" thickBot="1">
      <c r="A279" s="79" t="s">
        <v>4</v>
      </c>
      <c r="B279" s="149" t="s">
        <v>38</v>
      </c>
      <c r="C279" s="150"/>
      <c r="D279" s="79" t="s">
        <v>12</v>
      </c>
      <c r="E279" s="237" t="s">
        <v>13</v>
      </c>
      <c r="F279" s="238"/>
      <c r="G279" s="45"/>
    </row>
    <row r="280" spans="1:7" s="51" customFormat="1">
      <c r="A280" s="47" t="s">
        <v>15</v>
      </c>
      <c r="B280" s="48">
        <v>12</v>
      </c>
      <c r="C280" s="151" t="str">
        <f xml:space="preserve"> IF(B280="","",setValueToTime(B280))</f>
        <v>1h</v>
      </c>
      <c r="D280" s="165" t="s">
        <v>87</v>
      </c>
      <c r="E280" s="239"/>
      <c r="F280" s="240"/>
      <c r="G280" s="50"/>
    </row>
    <row r="281" spans="1:7" s="51" customFormat="1">
      <c r="A281" s="52" t="s">
        <v>50</v>
      </c>
      <c r="B281" s="53">
        <v>18</v>
      </c>
      <c r="C281" s="152" t="str">
        <f t="shared" ref="C281:C287" si="23" xml:space="preserve"> IF(B281="","",setValueToTime(B281))</f>
        <v>1h30min</v>
      </c>
      <c r="D281" s="166" t="s">
        <v>88</v>
      </c>
      <c r="E281" s="241"/>
      <c r="F281" s="242"/>
      <c r="G281" s="50"/>
    </row>
    <row r="282" spans="1:7" s="51" customFormat="1">
      <c r="A282" s="52" t="s">
        <v>52</v>
      </c>
      <c r="B282" s="53">
        <v>12</v>
      </c>
      <c r="C282" s="152" t="str">
        <f t="shared" si="23"/>
        <v>1h</v>
      </c>
      <c r="D282" s="166" t="s">
        <v>89</v>
      </c>
      <c r="E282" s="241"/>
      <c r="F282" s="242"/>
      <c r="G282" s="50"/>
    </row>
    <row r="283" spans="1:7" s="51" customFormat="1">
      <c r="A283" s="52" t="s">
        <v>15</v>
      </c>
      <c r="B283" s="53">
        <v>3</v>
      </c>
      <c r="C283" s="152" t="str">
        <f t="shared" si="23"/>
        <v>0h15min</v>
      </c>
      <c r="D283" s="166" t="s">
        <v>90</v>
      </c>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45</v>
      </c>
      <c r="C288" s="110" t="str">
        <f xml:space="preserve"> setValueToTime(B288)</f>
        <v>3h45min</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2</v>
      </c>
      <c r="C290" s="162"/>
      <c r="D290" s="81" t="s">
        <v>14</v>
      </c>
      <c r="E290" s="93">
        <v>44223</v>
      </c>
      <c r="F290" s="125" t="s">
        <v>75</v>
      </c>
      <c r="G290" s="45"/>
    </row>
    <row r="291" spans="1:7" s="46" customFormat="1" ht="30" customHeight="1" thickBot="1">
      <c r="A291" s="79" t="s">
        <v>4</v>
      </c>
      <c r="B291" s="149" t="s">
        <v>38</v>
      </c>
      <c r="C291" s="150"/>
      <c r="D291" s="79" t="s">
        <v>12</v>
      </c>
      <c r="E291" s="237" t="s">
        <v>13</v>
      </c>
      <c r="F291" s="238"/>
      <c r="G291" s="45"/>
    </row>
    <row r="292" spans="1:7" s="51" customFormat="1">
      <c r="A292" s="47" t="s">
        <v>58</v>
      </c>
      <c r="B292" s="48">
        <v>36</v>
      </c>
      <c r="C292" s="151"/>
      <c r="D292" s="165" t="s">
        <v>76</v>
      </c>
      <c r="E292" s="239"/>
      <c r="F292" s="240"/>
      <c r="G292" s="50"/>
    </row>
    <row r="293" spans="1:7" s="51" customFormat="1">
      <c r="A293" s="52" t="s">
        <v>57</v>
      </c>
      <c r="B293" s="53">
        <v>15</v>
      </c>
      <c r="C293" s="152"/>
      <c r="D293" s="166" t="s">
        <v>78</v>
      </c>
      <c r="E293" s="241"/>
      <c r="F293" s="242"/>
      <c r="G293" s="50"/>
    </row>
    <row r="294" spans="1:7" s="51" customFormat="1">
      <c r="A294" s="52"/>
      <c r="B294" s="53"/>
      <c r="C294" s="152" t="str">
        <f t="shared" ref="C294:C299" si="24" xml:space="preserve"> IF(B294="","",setValueToTime(B294))</f>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51</v>
      </c>
      <c r="C300" s="110" t="str">
        <f xml:space="preserve"> setValueToTime(B300)</f>
        <v>4h15min</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1</v>
      </c>
      <c r="C302" s="162"/>
      <c r="D302" s="81" t="s">
        <v>14</v>
      </c>
      <c r="E302" s="93">
        <v>44223</v>
      </c>
      <c r="F302" s="125" t="s">
        <v>74</v>
      </c>
      <c r="G302" s="45"/>
    </row>
    <row r="303" spans="1:7" s="46" customFormat="1" ht="30" customHeight="1" thickBot="1">
      <c r="A303" s="79" t="s">
        <v>4</v>
      </c>
      <c r="B303" s="149" t="s">
        <v>38</v>
      </c>
      <c r="C303" s="150"/>
      <c r="D303" s="79" t="s">
        <v>12</v>
      </c>
      <c r="E303" s="237" t="s">
        <v>13</v>
      </c>
      <c r="F303" s="238"/>
      <c r="G303" s="45"/>
    </row>
    <row r="304" spans="1:7" s="51" customFormat="1">
      <c r="A304" s="47" t="s">
        <v>51</v>
      </c>
      <c r="B304" s="48">
        <v>12</v>
      </c>
      <c r="C304" s="152" t="str">
        <f xml:space="preserve"> IF(B304="","",setValueToTime(B304))</f>
        <v>1h</v>
      </c>
      <c r="D304" s="165" t="s">
        <v>68</v>
      </c>
      <c r="E304" s="239"/>
      <c r="F304" s="240"/>
      <c r="G304" s="50"/>
    </row>
    <row r="305" spans="1:7" s="51" customFormat="1">
      <c r="A305" s="52" t="s">
        <v>56</v>
      </c>
      <c r="B305" s="53">
        <v>9</v>
      </c>
      <c r="C305" s="152" t="str">
        <f xml:space="preserve"> IF(B305="","",setValueToTime(B305))</f>
        <v>0h45min</v>
      </c>
      <c r="D305" s="166" t="s">
        <v>70</v>
      </c>
      <c r="E305" s="241"/>
      <c r="F305" s="242"/>
      <c r="G305" s="50"/>
    </row>
    <row r="306" spans="1:7" s="51" customFormat="1" ht="27">
      <c r="A306" s="52" t="s">
        <v>64</v>
      </c>
      <c r="B306" s="53">
        <v>9</v>
      </c>
      <c r="C306" s="152" t="str">
        <f t="shared" ref="C306:C311" si="25" xml:space="preserve"> IF(B306="","",setValueToTime(B306))</f>
        <v>0h45min</v>
      </c>
      <c r="D306" s="166" t="s">
        <v>72</v>
      </c>
      <c r="E306" s="241"/>
      <c r="F306" s="242"/>
      <c r="G306" s="50"/>
    </row>
    <row r="307" spans="1:7" s="51" customFormat="1" ht="27">
      <c r="A307" s="52" t="s">
        <v>65</v>
      </c>
      <c r="B307" s="53">
        <v>9</v>
      </c>
      <c r="C307" s="152" t="str">
        <f t="shared" si="25"/>
        <v>0h45min</v>
      </c>
      <c r="D307" s="166" t="s">
        <v>73</v>
      </c>
      <c r="E307" s="241"/>
      <c r="F307" s="242"/>
      <c r="G307" s="50"/>
    </row>
    <row r="308" spans="1:7" s="51" customFormat="1">
      <c r="A308" s="53" t="s">
        <v>58</v>
      </c>
      <c r="B308" s="53">
        <v>12</v>
      </c>
      <c r="C308" s="153" t="str">
        <f t="shared" si="25"/>
        <v>1h</v>
      </c>
      <c r="D308" s="166" t="s">
        <v>77</v>
      </c>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51</v>
      </c>
      <c r="C312" s="110" t="str">
        <f xml:space="preserve"> setValueToTime(B312)</f>
        <v>4h15min</v>
      </c>
      <c r="D312" s="119"/>
      <c r="E312" s="235"/>
      <c r="F312" s="236"/>
      <c r="G312" s="50"/>
    </row>
    <row r="313" spans="1:7" s="58" customFormat="1">
      <c r="A313" s="78"/>
      <c r="B313" s="78"/>
      <c r="C313" s="78"/>
      <c r="D313" s="78"/>
      <c r="E313" s="78"/>
      <c r="F313" s="78"/>
      <c r="G313" s="57"/>
    </row>
  </sheetData>
  <sheetProtection formatRows="0" insertRows="0" insertHyperlinks="0" deleteRows="0" selectLockedCells="1"/>
  <mergeCells count="260">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88:F288"/>
    <mergeCell ref="E272:F272"/>
    <mergeCell ref="E273:F273"/>
    <mergeCell ref="E274:F274"/>
    <mergeCell ref="E275:F275"/>
    <mergeCell ref="E276:F276"/>
    <mergeCell ref="E267:F267"/>
    <mergeCell ref="E268:F268"/>
    <mergeCell ref="E269:F269"/>
    <mergeCell ref="E270:F270"/>
    <mergeCell ref="E271:F271"/>
    <mergeCell ref="E279:F279"/>
    <mergeCell ref="E280:F280"/>
    <mergeCell ref="E281:F281"/>
    <mergeCell ref="E282:F282"/>
    <mergeCell ref="E283:F283"/>
    <mergeCell ref="E284:F284"/>
    <mergeCell ref="E285:F285"/>
    <mergeCell ref="E286:F286"/>
    <mergeCell ref="E287:F287"/>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309:F30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75:F75"/>
    <mergeCell ref="E76:F76"/>
    <mergeCell ref="E77:F77"/>
    <mergeCell ref="E78:F78"/>
    <mergeCell ref="E79:F79"/>
    <mergeCell ref="E80:F80"/>
    <mergeCell ref="E81:F81"/>
    <mergeCell ref="E82:F82"/>
    <mergeCell ref="E83:F8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12">
    <cfRule type="cellIs" dxfId="51" priority="26" operator="greaterThan">
      <formula>60</formula>
    </cfRule>
  </conditionalFormatting>
  <conditionalFormatting sqref="B300">
    <cfRule type="cellIs" dxfId="50" priority="25" operator="greaterThan">
      <formula>60</formula>
    </cfRule>
  </conditionalFormatting>
  <conditionalFormatting sqref="B288">
    <cfRule type="cellIs" dxfId="49" priority="24" operator="greaterThan">
      <formula>60</formula>
    </cfRule>
  </conditionalFormatting>
  <conditionalFormatting sqref="B276">
    <cfRule type="cellIs" dxfId="48" priority="23" operator="greaterThan">
      <formula>60</formula>
    </cfRule>
  </conditionalFormatting>
  <conditionalFormatting sqref="B264">
    <cfRule type="cellIs" dxfId="47" priority="22" operator="greaterThan">
      <formula>60</formula>
    </cfRule>
  </conditionalFormatting>
  <conditionalFormatting sqref="B252">
    <cfRule type="cellIs" dxfId="46" priority="21" operator="greaterThan">
      <formula>60</formula>
    </cfRule>
  </conditionalFormatting>
  <conditionalFormatting sqref="B240">
    <cfRule type="cellIs" dxfId="45" priority="20" operator="greaterThan">
      <formula>60</formula>
    </cfRule>
  </conditionalFormatting>
  <conditionalFormatting sqref="B228">
    <cfRule type="cellIs" dxfId="44" priority="19" operator="greaterThan">
      <formula>60</formula>
    </cfRule>
  </conditionalFormatting>
  <conditionalFormatting sqref="B216">
    <cfRule type="cellIs" dxfId="43" priority="18" operator="greaterThan">
      <formula>60</formula>
    </cfRule>
  </conditionalFormatting>
  <conditionalFormatting sqref="B204">
    <cfRule type="cellIs" dxfId="42" priority="17" operator="greaterThan">
      <formula>60</formula>
    </cfRule>
  </conditionalFormatting>
  <conditionalFormatting sqref="B192">
    <cfRule type="cellIs" dxfId="41" priority="16" operator="greaterThan">
      <formula>60</formula>
    </cfRule>
  </conditionalFormatting>
  <conditionalFormatting sqref="B180">
    <cfRule type="cellIs" dxfId="40" priority="15" operator="greaterThan">
      <formula>60</formula>
    </cfRule>
  </conditionalFormatting>
  <conditionalFormatting sqref="B168">
    <cfRule type="cellIs" dxfId="39" priority="14" operator="greaterThan">
      <formula>60</formula>
    </cfRule>
  </conditionalFormatting>
  <conditionalFormatting sqref="B156">
    <cfRule type="cellIs" dxfId="38" priority="13" operator="greaterThan">
      <formula>60</formula>
    </cfRule>
  </conditionalFormatting>
  <conditionalFormatting sqref="B144">
    <cfRule type="cellIs" dxfId="37" priority="12" operator="greaterThan">
      <formula>60</formula>
    </cfRule>
  </conditionalFormatting>
  <conditionalFormatting sqref="B132">
    <cfRule type="cellIs" dxfId="36" priority="11" operator="greaterThan">
      <formula>60</formula>
    </cfRule>
  </conditionalFormatting>
  <conditionalFormatting sqref="B120">
    <cfRule type="cellIs" dxfId="35" priority="10" operator="greaterThan">
      <formula>60</formula>
    </cfRule>
  </conditionalFormatting>
  <conditionalFormatting sqref="B108">
    <cfRule type="cellIs" dxfId="34" priority="9" operator="greaterThan">
      <formula>60</formula>
    </cfRule>
  </conditionalFormatting>
  <conditionalFormatting sqref="B96">
    <cfRule type="cellIs" dxfId="33" priority="8" operator="greaterThan">
      <formula>60</formula>
    </cfRule>
  </conditionalFormatting>
  <conditionalFormatting sqref="B84">
    <cfRule type="cellIs" dxfId="32" priority="7" operator="greaterThan">
      <formula>60</formula>
    </cfRule>
  </conditionalFormatting>
  <conditionalFormatting sqref="B72">
    <cfRule type="cellIs" dxfId="31" priority="6" operator="greaterThan">
      <formula>60</formula>
    </cfRule>
  </conditionalFormatting>
  <conditionalFormatting sqref="B60">
    <cfRule type="cellIs" dxfId="30" priority="5" operator="greaterThan">
      <formula>60</formula>
    </cfRule>
  </conditionalFormatting>
  <conditionalFormatting sqref="B48">
    <cfRule type="cellIs" dxfId="29" priority="4" operator="greaterThan">
      <formula>60</formula>
    </cfRule>
  </conditionalFormatting>
  <conditionalFormatting sqref="B36">
    <cfRule type="cellIs" dxfId="28" priority="3" operator="greaterThan">
      <formula>60</formula>
    </cfRule>
  </conditionalFormatting>
  <conditionalFormatting sqref="B24">
    <cfRule type="cellIs" dxfId="27" priority="2" operator="greaterThan">
      <formula>60</formula>
    </cfRule>
  </conditionalFormatting>
  <conditionalFormatting sqref="B12">
    <cfRule type="cellIs" dxfId="2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304:B311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292:A299 A304:A311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89"/>
  <sheetViews>
    <sheetView showGridLines="0" tabSelected="1" zoomScaleNormal="100" zoomScaleSheetLayoutView="98" workbookViewId="0">
      <pane ySplit="1" topLeftCell="A2" activePane="bottomLeft" state="frozen"/>
      <selection pane="bottomLeft" activeCell="D10" sqref="D10"/>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24</v>
      </c>
      <c r="C2" s="163"/>
      <c r="D2" s="156" t="s">
        <v>14</v>
      </c>
      <c r="E2" s="157" t="s">
        <v>178</v>
      </c>
      <c r="F2" s="158" t="s">
        <v>75</v>
      </c>
      <c r="G2" s="45"/>
    </row>
    <row r="3" spans="1:7" s="46" customFormat="1" ht="30" customHeight="1" thickBot="1">
      <c r="A3" s="77" t="s">
        <v>4</v>
      </c>
      <c r="B3" s="160" t="s">
        <v>38</v>
      </c>
      <c r="C3" s="159"/>
      <c r="D3" s="77" t="s">
        <v>12</v>
      </c>
      <c r="E3" s="247" t="s">
        <v>13</v>
      </c>
      <c r="F3" s="248"/>
      <c r="G3" s="45"/>
    </row>
    <row r="4" spans="1:7" s="51" customFormat="1" ht="27">
      <c r="A4" s="47" t="s">
        <v>117</v>
      </c>
      <c r="B4" s="48">
        <v>16</v>
      </c>
      <c r="C4" s="151" t="str">
        <f xml:space="preserve"> IF(B4="","",setValueToTime(B4))</f>
        <v>1h20min</v>
      </c>
      <c r="D4" s="165" t="s">
        <v>182</v>
      </c>
      <c r="E4" s="239"/>
      <c r="F4" s="240"/>
      <c r="G4" s="50"/>
    </row>
    <row r="5" spans="1:7" s="51" customFormat="1" ht="40.5">
      <c r="A5" s="52" t="s">
        <v>66</v>
      </c>
      <c r="B5" s="53">
        <v>17</v>
      </c>
      <c r="C5" s="152" t="str">
        <f t="shared" ref="C5:C11" si="0" xml:space="preserve"> IF(B5="","",setValueToTime(B5))</f>
        <v>1h25min</v>
      </c>
      <c r="D5" s="166" t="s">
        <v>183</v>
      </c>
      <c r="E5" s="241"/>
      <c r="F5" s="242"/>
      <c r="G5" s="50"/>
    </row>
    <row r="6" spans="1:7" s="51" customFormat="1">
      <c r="A6" s="52" t="s">
        <v>15</v>
      </c>
      <c r="B6" s="53">
        <v>3</v>
      </c>
      <c r="C6" s="152" t="str">
        <f t="shared" si="0"/>
        <v>0h15min</v>
      </c>
      <c r="D6" s="166" t="s">
        <v>151</v>
      </c>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36</v>
      </c>
      <c r="C12" s="161" t="str">
        <f xml:space="preserve"> setValueToTime(B12)</f>
        <v>3h</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23</v>
      </c>
      <c r="C14" s="163"/>
      <c r="D14" s="156" t="s">
        <v>14</v>
      </c>
      <c r="E14" s="157" t="s">
        <v>178</v>
      </c>
      <c r="F14" s="158" t="s">
        <v>74</v>
      </c>
      <c r="G14" s="45"/>
    </row>
    <row r="15" spans="1:7" s="46" customFormat="1" ht="30" customHeight="1" thickBot="1">
      <c r="A15" s="77" t="s">
        <v>4</v>
      </c>
      <c r="B15" s="160" t="s">
        <v>38</v>
      </c>
      <c r="C15" s="159"/>
      <c r="D15" s="77" t="s">
        <v>12</v>
      </c>
      <c r="E15" s="247" t="s">
        <v>13</v>
      </c>
      <c r="F15" s="248"/>
      <c r="G15" s="45"/>
    </row>
    <row r="16" spans="1:7" s="51" customFormat="1" ht="40.5">
      <c r="A16" s="47" t="s">
        <v>117</v>
      </c>
      <c r="B16" s="48">
        <v>42</v>
      </c>
      <c r="C16" s="151" t="str">
        <f xml:space="preserve"> IF(B16="","",setValueToTime(B16))</f>
        <v>3h30min</v>
      </c>
      <c r="D16" s="165" t="s">
        <v>181</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27.75" thickBot="1">
      <c r="A24" s="161" t="s">
        <v>27</v>
      </c>
      <c r="B24" s="82">
        <f>SUM(B16:B23)</f>
        <v>45</v>
      </c>
      <c r="C24" s="161" t="str">
        <f xml:space="preserve"> setValueToTime(B24)</f>
        <v>3h45min</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22</v>
      </c>
      <c r="C26" s="163"/>
      <c r="D26" s="156" t="s">
        <v>14</v>
      </c>
      <c r="E26" s="157" t="s">
        <v>177</v>
      </c>
      <c r="F26" s="158" t="s">
        <v>75</v>
      </c>
      <c r="G26" s="45"/>
    </row>
    <row r="27" spans="1:7" s="46" customFormat="1" ht="30" customHeight="1" thickBot="1">
      <c r="A27" s="77" t="s">
        <v>4</v>
      </c>
      <c r="B27" s="160" t="s">
        <v>38</v>
      </c>
      <c r="C27" s="159"/>
      <c r="D27" s="77" t="s">
        <v>12</v>
      </c>
      <c r="E27" s="247" t="s">
        <v>13</v>
      </c>
      <c r="F27" s="248"/>
      <c r="G27" s="45"/>
    </row>
    <row r="28" spans="1:7" s="51" customFormat="1">
      <c r="A28" s="47" t="s">
        <v>66</v>
      </c>
      <c r="B28" s="48">
        <v>18</v>
      </c>
      <c r="C28" s="151" t="str">
        <f xml:space="preserve"> IF(B28="","",setValueToTime(B28))</f>
        <v>1h30min</v>
      </c>
      <c r="D28" s="165" t="s">
        <v>179</v>
      </c>
      <c r="E28" s="239"/>
      <c r="F28" s="240"/>
      <c r="G28" s="50"/>
    </row>
    <row r="29" spans="1:7" s="51" customFormat="1" ht="27">
      <c r="A29" s="52" t="s">
        <v>117</v>
      </c>
      <c r="B29" s="53">
        <v>15</v>
      </c>
      <c r="C29" s="152" t="str">
        <f t="shared" ref="C29:C35" si="2" xml:space="preserve"> IF(B29="","",setValueToTime(B29))</f>
        <v>1h15min</v>
      </c>
      <c r="D29" s="166" t="s">
        <v>180</v>
      </c>
      <c r="E29" s="241"/>
      <c r="F29" s="242"/>
      <c r="G29" s="50"/>
    </row>
    <row r="30" spans="1:7" s="51" customFormat="1">
      <c r="A30" s="52" t="s">
        <v>15</v>
      </c>
      <c r="B30" s="53">
        <v>3</v>
      </c>
      <c r="C30" s="152" t="str">
        <f t="shared" si="2"/>
        <v>0h15min</v>
      </c>
      <c r="D30" s="166" t="s">
        <v>151</v>
      </c>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21</v>
      </c>
      <c r="C38" s="163"/>
      <c r="D38" s="156" t="s">
        <v>14</v>
      </c>
      <c r="E38" s="157">
        <v>44244</v>
      </c>
      <c r="F38" s="158" t="s">
        <v>74</v>
      </c>
      <c r="G38" s="45"/>
    </row>
    <row r="39" spans="1:7" s="46" customFormat="1" ht="30" customHeight="1" thickBot="1">
      <c r="A39" s="77" t="s">
        <v>4</v>
      </c>
      <c r="B39" s="160" t="s">
        <v>38</v>
      </c>
      <c r="C39" s="159"/>
      <c r="D39" s="77" t="s">
        <v>12</v>
      </c>
      <c r="E39" s="247" t="s">
        <v>13</v>
      </c>
      <c r="F39" s="248"/>
      <c r="G39" s="45"/>
    </row>
    <row r="40" spans="1:7" s="51" customFormat="1" ht="67.5">
      <c r="A40" s="47" t="s">
        <v>165</v>
      </c>
      <c r="B40" s="48">
        <v>42</v>
      </c>
      <c r="C40" s="151" t="str">
        <f xml:space="preserve"> IF(B40="","",setValueToTime(B40))</f>
        <v>3h30min</v>
      </c>
      <c r="D40" s="165" t="s">
        <v>172</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27.75" thickBot="1">
      <c r="A48" s="161" t="s">
        <v>27</v>
      </c>
      <c r="B48" s="82">
        <f>SUM(B40:B47)</f>
        <v>45</v>
      </c>
      <c r="C48" s="161" t="str">
        <f xml:space="preserve"> setValueToTime(B48)</f>
        <v>3h45min</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20</v>
      </c>
      <c r="C50" s="163"/>
      <c r="D50" s="156" t="s">
        <v>14</v>
      </c>
      <c r="E50" s="157" t="s">
        <v>153</v>
      </c>
      <c r="F50" s="158" t="s">
        <v>75</v>
      </c>
      <c r="G50" s="45"/>
    </row>
    <row r="51" spans="1:7" s="46" customFormat="1" ht="30" customHeight="1" thickBot="1">
      <c r="A51" s="77" t="s">
        <v>4</v>
      </c>
      <c r="B51" s="160" t="s">
        <v>38</v>
      </c>
      <c r="C51" s="159"/>
      <c r="D51" s="77" t="s">
        <v>12</v>
      </c>
      <c r="E51" s="247" t="s">
        <v>13</v>
      </c>
      <c r="F51" s="248"/>
      <c r="G51" s="45"/>
    </row>
    <row r="52" spans="1:7" s="51" customFormat="1" ht="27">
      <c r="A52" s="47" t="s">
        <v>165</v>
      </c>
      <c r="B52" s="48">
        <v>33</v>
      </c>
      <c r="C52" s="151" t="str">
        <f xml:space="preserve"> IF(B52="","",setValueToTime(B52))</f>
        <v>2h45min</v>
      </c>
      <c r="D52" s="165" t="s">
        <v>168</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19</v>
      </c>
      <c r="C62" s="163"/>
      <c r="D62" s="156" t="s">
        <v>14</v>
      </c>
      <c r="E62" s="157" t="s">
        <v>153</v>
      </c>
      <c r="F62" s="158" t="s">
        <v>74</v>
      </c>
      <c r="G62" s="45"/>
    </row>
    <row r="63" spans="1:7" s="46" customFormat="1" ht="30" customHeight="1" thickBot="1">
      <c r="A63" s="77" t="s">
        <v>4</v>
      </c>
      <c r="B63" s="160" t="s">
        <v>38</v>
      </c>
      <c r="C63" s="159"/>
      <c r="D63" s="77" t="s">
        <v>12</v>
      </c>
      <c r="E63" s="247" t="s">
        <v>13</v>
      </c>
      <c r="F63" s="248"/>
      <c r="G63" s="45"/>
    </row>
    <row r="64" spans="1:7" s="51" customFormat="1">
      <c r="A64" s="47" t="s">
        <v>50</v>
      </c>
      <c r="B64" s="48">
        <v>32</v>
      </c>
      <c r="C64" s="151" t="str">
        <f xml:space="preserve"> IF(B64="","",setValueToTime(B64))</f>
        <v>2h40min</v>
      </c>
      <c r="D64" s="165" t="s">
        <v>167</v>
      </c>
      <c r="E64" s="239"/>
      <c r="F64" s="240"/>
      <c r="G64" s="50"/>
    </row>
    <row r="65" spans="1:7" s="51" customFormat="1">
      <c r="A65" s="52" t="s">
        <v>15</v>
      </c>
      <c r="B65" s="53">
        <v>2</v>
      </c>
      <c r="C65" s="152" t="str">
        <f t="shared" ref="C65:C71" si="5" xml:space="preserve"> IF(B65="","",setValueToTime(B65))</f>
        <v>0h10min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27.75" thickBot="1">
      <c r="A72" s="161" t="s">
        <v>27</v>
      </c>
      <c r="B72" s="82">
        <f>SUM(B64:B71)</f>
        <v>34</v>
      </c>
      <c r="C72" s="161" t="str">
        <f xml:space="preserve"> setValueToTime(B72)</f>
        <v>2h50min</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18</v>
      </c>
      <c r="C74" s="163"/>
      <c r="D74" s="156" t="s">
        <v>14</v>
      </c>
      <c r="E74" s="157" t="s">
        <v>156</v>
      </c>
      <c r="F74" s="158" t="s">
        <v>75</v>
      </c>
      <c r="G74" s="45"/>
    </row>
    <row r="75" spans="1:7" s="46" customFormat="1" ht="30" customHeight="1" thickBot="1">
      <c r="A75" s="77" t="s">
        <v>4</v>
      </c>
      <c r="B75" s="160" t="s">
        <v>38</v>
      </c>
      <c r="C75" s="159"/>
      <c r="D75" s="77" t="s">
        <v>12</v>
      </c>
      <c r="E75" s="247" t="s">
        <v>13</v>
      </c>
      <c r="F75" s="248"/>
      <c r="G75" s="45"/>
    </row>
    <row r="76" spans="1:7" s="51" customFormat="1">
      <c r="A76" s="47" t="s">
        <v>50</v>
      </c>
      <c r="B76" s="48">
        <v>33</v>
      </c>
      <c r="C76" s="151" t="str">
        <f xml:space="preserve"> IF(B76="","",setValueToTime(B76))</f>
        <v>2h45min</v>
      </c>
      <c r="D76" s="165" t="s">
        <v>163</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17</v>
      </c>
      <c r="C86" s="163"/>
      <c r="D86" s="156" t="s">
        <v>14</v>
      </c>
      <c r="E86" s="157" t="s">
        <v>156</v>
      </c>
      <c r="F86" s="158" t="s">
        <v>74</v>
      </c>
      <c r="G86" s="45"/>
    </row>
    <row r="87" spans="1:7" s="46" customFormat="1" ht="30" customHeight="1" thickBot="1">
      <c r="A87" s="77" t="s">
        <v>4</v>
      </c>
      <c r="B87" s="160" t="s">
        <v>38</v>
      </c>
      <c r="C87" s="159"/>
      <c r="D87" s="77" t="s">
        <v>12</v>
      </c>
      <c r="E87" s="247" t="s">
        <v>13</v>
      </c>
      <c r="F87" s="248"/>
      <c r="G87" s="45"/>
    </row>
    <row r="88" spans="1:7" s="51" customFormat="1" ht="40.5">
      <c r="A88" s="47" t="s">
        <v>50</v>
      </c>
      <c r="B88" s="48">
        <v>43</v>
      </c>
      <c r="C88" s="151" t="str">
        <f xml:space="preserve"> IF(B88="","",setValueToTime(B88))</f>
        <v>3h35min</v>
      </c>
      <c r="D88" s="165" t="s">
        <v>162</v>
      </c>
      <c r="E88" s="239"/>
      <c r="F88" s="240"/>
      <c r="G88" s="50"/>
    </row>
    <row r="89" spans="1:7" s="51" customFormat="1">
      <c r="A89" s="52" t="s">
        <v>15</v>
      </c>
      <c r="B89" s="53">
        <v>2</v>
      </c>
      <c r="C89" s="152" t="str">
        <f t="shared" ref="C89:C95" si="7" xml:space="preserve"> IF(B89="","",setValueToTime(B89))</f>
        <v>0h10min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27.75" thickBot="1">
      <c r="A96" s="161" t="s">
        <v>27</v>
      </c>
      <c r="B96" s="82">
        <f>SUM(B88:B95)</f>
        <v>45</v>
      </c>
      <c r="C96" s="161" t="str">
        <f xml:space="preserve"> setValueToTime(B96)</f>
        <v>3h45min</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16</v>
      </c>
      <c r="C98" s="163"/>
      <c r="D98" s="156" t="s">
        <v>14</v>
      </c>
      <c r="E98" s="157" t="s">
        <v>146</v>
      </c>
      <c r="F98" s="158" t="s">
        <v>75</v>
      </c>
      <c r="G98" s="45"/>
    </row>
    <row r="99" spans="1:7" s="46" customFormat="1" ht="30" customHeight="1" thickBot="1">
      <c r="A99" s="77" t="s">
        <v>4</v>
      </c>
      <c r="B99" s="160" t="s">
        <v>38</v>
      </c>
      <c r="C99" s="159"/>
      <c r="D99" s="77" t="s">
        <v>12</v>
      </c>
      <c r="E99" s="247" t="s">
        <v>13</v>
      </c>
      <c r="F99" s="248"/>
      <c r="G99" s="45"/>
    </row>
    <row r="100" spans="1:7" s="51" customFormat="1">
      <c r="A100" s="47" t="s">
        <v>50</v>
      </c>
      <c r="B100" s="48">
        <v>33</v>
      </c>
      <c r="C100" s="151" t="str">
        <f xml:space="preserve"> IF(B100="","",setValueToTime(B100))</f>
        <v>2h45min</v>
      </c>
      <c r="D100" s="165" t="s">
        <v>150</v>
      </c>
      <c r="E100" s="239"/>
      <c r="F100" s="240"/>
      <c r="G100" s="50"/>
    </row>
    <row r="101" spans="1:7" s="51" customFormat="1">
      <c r="A101" s="52" t="s">
        <v>15</v>
      </c>
      <c r="B101" s="53">
        <v>3</v>
      </c>
      <c r="C101" s="152" t="str">
        <f t="shared" ref="C101:C107" si="8" xml:space="preserve"> IF(B101="","",setValueToTime(B101))</f>
        <v>0h15min</v>
      </c>
      <c r="D101" s="166" t="s">
        <v>151</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61" t="s">
        <v>27</v>
      </c>
      <c r="B108" s="82">
        <f>SUM(B100:B107)</f>
        <v>36</v>
      </c>
      <c r="C108" s="161" t="str">
        <f xml:space="preserve"> setValueToTime(B108)</f>
        <v>3h</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15</v>
      </c>
      <c r="C110" s="163"/>
      <c r="D110" s="156" t="s">
        <v>14</v>
      </c>
      <c r="E110" s="157" t="s">
        <v>146</v>
      </c>
      <c r="F110" s="158" t="s">
        <v>74</v>
      </c>
      <c r="G110" s="45"/>
    </row>
    <row r="111" spans="1:7" s="46" customFormat="1" ht="30" customHeight="1" thickBot="1">
      <c r="A111" s="77" t="s">
        <v>4</v>
      </c>
      <c r="B111" s="160" t="s">
        <v>38</v>
      </c>
      <c r="C111" s="159"/>
      <c r="D111" s="77" t="s">
        <v>12</v>
      </c>
      <c r="E111" s="247" t="s">
        <v>13</v>
      </c>
      <c r="F111" s="248"/>
      <c r="G111" s="45"/>
    </row>
    <row r="112" spans="1:7" s="51" customFormat="1">
      <c r="A112" s="47" t="s">
        <v>51</v>
      </c>
      <c r="B112" s="48">
        <v>6</v>
      </c>
      <c r="C112" s="151" t="str">
        <f xml:space="preserve"> IF(B112="","",setValueToTime(B112))</f>
        <v>0h30min</v>
      </c>
      <c r="D112" s="165" t="s">
        <v>147</v>
      </c>
      <c r="E112" s="239"/>
      <c r="F112" s="240"/>
      <c r="G112" s="50"/>
    </row>
    <row r="113" spans="1:7" s="51" customFormat="1">
      <c r="A113" s="52" t="s">
        <v>56</v>
      </c>
      <c r="B113" s="53">
        <v>6</v>
      </c>
      <c r="C113" s="152" t="str">
        <f t="shared" ref="C113:C119" si="9" xml:space="preserve"> IF(B113="","",setValueToTime(B113))</f>
        <v>0h30min</v>
      </c>
      <c r="D113" s="166" t="s">
        <v>148</v>
      </c>
      <c r="E113" s="241"/>
      <c r="F113" s="242"/>
      <c r="G113" s="50"/>
    </row>
    <row r="114" spans="1:7" s="51" customFormat="1">
      <c r="A114" s="52" t="s">
        <v>66</v>
      </c>
      <c r="B114" s="53">
        <v>24</v>
      </c>
      <c r="C114" s="152" t="str">
        <f t="shared" si="9"/>
        <v>2h</v>
      </c>
      <c r="D114" s="166" t="s">
        <v>149</v>
      </c>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14</v>
      </c>
      <c r="C122" s="163"/>
      <c r="D122" s="156" t="s">
        <v>14</v>
      </c>
      <c r="E122" s="157">
        <v>44235</v>
      </c>
      <c r="F122" s="158" t="s">
        <v>86</v>
      </c>
      <c r="G122" s="45"/>
    </row>
    <row r="123" spans="1:7" s="46" customFormat="1" ht="30" customHeight="1" thickBot="1">
      <c r="A123" s="77" t="s">
        <v>4</v>
      </c>
      <c r="B123" s="160" t="s">
        <v>38</v>
      </c>
      <c r="C123" s="159"/>
      <c r="D123" s="77" t="s">
        <v>12</v>
      </c>
      <c r="E123" s="247" t="s">
        <v>13</v>
      </c>
      <c r="F123" s="248"/>
      <c r="G123" s="45"/>
    </row>
    <row r="124" spans="1:7" s="51" customFormat="1">
      <c r="A124" s="47" t="s">
        <v>51</v>
      </c>
      <c r="B124" s="48">
        <v>36</v>
      </c>
      <c r="C124" s="151" t="str">
        <f xml:space="preserve"> IF(B124="","",setValueToTime(B124))</f>
        <v>3h</v>
      </c>
      <c r="D124" s="165" t="s">
        <v>141</v>
      </c>
      <c r="E124" s="239"/>
      <c r="F124" s="240"/>
      <c r="G124" s="50"/>
    </row>
    <row r="125" spans="1:7" s="51" customFormat="1">
      <c r="A125" s="52"/>
      <c r="B125" s="53"/>
      <c r="C125" s="152" t="str">
        <f t="shared" ref="C125:C131" si="10" xml:space="preserve"> IF(B125="","",setValueToTime(B125))</f>
        <v/>
      </c>
      <c r="D125" s="54"/>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61" t="s">
        <v>27</v>
      </c>
      <c r="B132" s="82">
        <f>SUM(B124:B131)</f>
        <v>36</v>
      </c>
      <c r="C132" s="161" t="str">
        <f xml:space="preserve"> setValueToTime(B132)</f>
        <v>3h</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13</v>
      </c>
      <c r="C134" s="163"/>
      <c r="D134" s="156" t="s">
        <v>14</v>
      </c>
      <c r="E134" s="157" t="s">
        <v>138</v>
      </c>
      <c r="F134" s="158" t="s">
        <v>75</v>
      </c>
      <c r="G134" s="45"/>
    </row>
    <row r="135" spans="1:7" s="46" customFormat="1" ht="30" customHeight="1" thickBot="1">
      <c r="A135" s="77" t="s">
        <v>4</v>
      </c>
      <c r="B135" s="160" t="s">
        <v>38</v>
      </c>
      <c r="C135" s="159"/>
      <c r="D135" s="77" t="s">
        <v>12</v>
      </c>
      <c r="E135" s="247" t="s">
        <v>13</v>
      </c>
      <c r="F135" s="248"/>
      <c r="G135" s="45"/>
    </row>
    <row r="136" spans="1:7" s="51" customFormat="1" ht="27">
      <c r="A136" s="197" t="s">
        <v>66</v>
      </c>
      <c r="B136" s="48">
        <v>33</v>
      </c>
      <c r="C136" s="151" t="str">
        <f xml:space="preserve"> IF(B136="","",setValueToTime(B136))</f>
        <v>2h45min</v>
      </c>
      <c r="D136" s="165" t="s">
        <v>140</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12</v>
      </c>
      <c r="C146" s="163"/>
      <c r="D146" s="156" t="s">
        <v>14</v>
      </c>
      <c r="E146" s="157" t="s">
        <v>138</v>
      </c>
      <c r="F146" s="158" t="s">
        <v>74</v>
      </c>
      <c r="G146" s="45"/>
    </row>
    <row r="147" spans="1:7" s="46" customFormat="1" ht="30" customHeight="1" thickBot="1">
      <c r="A147" s="77" t="s">
        <v>4</v>
      </c>
      <c r="B147" s="160" t="s">
        <v>38</v>
      </c>
      <c r="C147" s="159"/>
      <c r="D147" s="77" t="s">
        <v>12</v>
      </c>
      <c r="E147" s="247" t="s">
        <v>13</v>
      </c>
      <c r="F147" s="248"/>
      <c r="G147" s="45"/>
    </row>
    <row r="148" spans="1:7" s="51" customFormat="1" ht="81">
      <c r="A148" s="47" t="s">
        <v>60</v>
      </c>
      <c r="B148" s="48">
        <v>33</v>
      </c>
      <c r="C148" s="151" t="str">
        <f xml:space="preserve"> IF(B148="","",setValueToTime(B148))</f>
        <v>2h45min</v>
      </c>
      <c r="D148" s="165" t="s">
        <v>139</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61" t="s">
        <v>27</v>
      </c>
      <c r="B156" s="82">
        <f>SUM(B148:B155)</f>
        <v>36</v>
      </c>
      <c r="C156" s="161" t="str">
        <f xml:space="preserve"> setValueToTime(B156)</f>
        <v>3h</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11</v>
      </c>
      <c r="C158" s="163"/>
      <c r="D158" s="156" t="s">
        <v>14</v>
      </c>
      <c r="E158" s="157" t="s">
        <v>135</v>
      </c>
      <c r="F158" s="158" t="s">
        <v>75</v>
      </c>
      <c r="G158" s="45"/>
    </row>
    <row r="159" spans="1:7" s="46" customFormat="1" ht="30" customHeight="1" thickBot="1">
      <c r="A159" s="77" t="s">
        <v>4</v>
      </c>
      <c r="B159" s="160" t="s">
        <v>38</v>
      </c>
      <c r="C159" s="159"/>
      <c r="D159" s="77" t="s">
        <v>12</v>
      </c>
      <c r="E159" s="247" t="s">
        <v>13</v>
      </c>
      <c r="F159" s="248"/>
      <c r="G159" s="45"/>
    </row>
    <row r="160" spans="1:7" s="51" customFormat="1" ht="54">
      <c r="A160" s="47" t="s">
        <v>60</v>
      </c>
      <c r="B160" s="48">
        <v>33</v>
      </c>
      <c r="C160" s="151" t="str">
        <f xml:space="preserve"> IF(B160="","",setValueToTime(B160))</f>
        <v>2h45min</v>
      </c>
      <c r="D160" s="165" t="s">
        <v>137</v>
      </c>
      <c r="E160" s="239"/>
      <c r="F160" s="240"/>
      <c r="G160" s="50"/>
    </row>
    <row r="161" spans="1:7" s="51" customFormat="1">
      <c r="A161" s="52" t="s">
        <v>15</v>
      </c>
      <c r="B161" s="53">
        <v>3</v>
      </c>
      <c r="C161" s="152" t="str">
        <f t="shared" ref="C161:C167" si="13" xml:space="preserve"> IF(B161="","",setValueToTime(B161))</f>
        <v>0h15min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10</v>
      </c>
      <c r="C170" s="163"/>
      <c r="D170" s="156" t="s">
        <v>14</v>
      </c>
      <c r="E170" s="157" t="s">
        <v>135</v>
      </c>
      <c r="F170" s="158" t="s">
        <v>74</v>
      </c>
      <c r="G170" s="45"/>
    </row>
    <row r="171" spans="1:7" s="46" customFormat="1" ht="30" customHeight="1" thickBot="1">
      <c r="A171" s="77" t="s">
        <v>4</v>
      </c>
      <c r="B171" s="160" t="s">
        <v>38</v>
      </c>
      <c r="C171" s="159"/>
      <c r="D171" s="77" t="s">
        <v>12</v>
      </c>
      <c r="E171" s="247" t="s">
        <v>13</v>
      </c>
      <c r="F171" s="248"/>
      <c r="G171" s="45"/>
    </row>
    <row r="172" spans="1:7" s="51" customFormat="1" ht="40.5">
      <c r="A172" s="47" t="s">
        <v>59</v>
      </c>
      <c r="B172" s="48">
        <v>42</v>
      </c>
      <c r="C172" s="151" t="str">
        <f xml:space="preserve"> IF(B172="","",setValueToTime(B172))</f>
        <v>3h30min</v>
      </c>
      <c r="D172" s="165" t="s">
        <v>136</v>
      </c>
      <c r="E172" s="239"/>
      <c r="F172" s="240"/>
      <c r="G172" s="50"/>
    </row>
    <row r="173" spans="1:7" s="51" customFormat="1">
      <c r="A173" s="52" t="s">
        <v>15</v>
      </c>
      <c r="B173" s="53">
        <v>3</v>
      </c>
      <c r="C173" s="152" t="str">
        <f t="shared" ref="C173:C179" si="14" xml:space="preserve"> IF(B173="","",setValueToTime(B173))</f>
        <v>0h15min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27.75" thickBot="1">
      <c r="A180" s="161" t="s">
        <v>27</v>
      </c>
      <c r="B180" s="82">
        <f>SUM(B172:B179)</f>
        <v>45</v>
      </c>
      <c r="C180" s="161" t="str">
        <f xml:space="preserve"> setValueToTime(B180)</f>
        <v>3h45min</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9</v>
      </c>
      <c r="C182" s="163"/>
      <c r="D182" s="156" t="s">
        <v>14</v>
      </c>
      <c r="E182" s="157" t="s">
        <v>126</v>
      </c>
      <c r="F182" s="158" t="s">
        <v>75</v>
      </c>
      <c r="G182" s="45"/>
    </row>
    <row r="183" spans="1:7" s="46" customFormat="1" ht="30" customHeight="1" thickBot="1">
      <c r="A183" s="77" t="s">
        <v>4</v>
      </c>
      <c r="B183" s="160" t="s">
        <v>38</v>
      </c>
      <c r="C183" s="159"/>
      <c r="D183" s="77" t="s">
        <v>12</v>
      </c>
      <c r="E183" s="247" t="s">
        <v>13</v>
      </c>
      <c r="F183" s="248"/>
      <c r="G183" s="45"/>
    </row>
    <row r="184" spans="1:7" s="51" customFormat="1" ht="27">
      <c r="A184" s="47" t="s">
        <v>59</v>
      </c>
      <c r="B184" s="48">
        <v>33</v>
      </c>
      <c r="C184" s="151" t="str">
        <f xml:space="preserve"> IF(B184="","",setValueToTime(B184))</f>
        <v>2h45min</v>
      </c>
      <c r="D184" s="165" t="s">
        <v>134</v>
      </c>
      <c r="E184" s="239"/>
      <c r="F184" s="240"/>
      <c r="G184" s="50"/>
    </row>
    <row r="185" spans="1:7" s="51" customFormat="1">
      <c r="A185" s="52" t="s">
        <v>15</v>
      </c>
      <c r="B185" s="53">
        <v>3</v>
      </c>
      <c r="C185" s="152" t="str">
        <f t="shared" ref="C185:C191" si="15" xml:space="preserve"> IF(B185="","",setValueToTime(B185))</f>
        <v>0h15min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8</v>
      </c>
      <c r="C194" s="163"/>
      <c r="D194" s="156" t="s">
        <v>14</v>
      </c>
      <c r="E194" s="157" t="s">
        <v>126</v>
      </c>
      <c r="F194" s="158" t="s">
        <v>74</v>
      </c>
      <c r="G194" s="45"/>
    </row>
    <row r="195" spans="1:7" s="46" customFormat="1" ht="30" customHeight="1" thickBot="1">
      <c r="A195" s="77" t="s">
        <v>4</v>
      </c>
      <c r="B195" s="160" t="s">
        <v>38</v>
      </c>
      <c r="C195" s="159"/>
      <c r="D195" s="77" t="s">
        <v>12</v>
      </c>
      <c r="E195" s="247" t="s">
        <v>13</v>
      </c>
      <c r="F195" s="248"/>
      <c r="G195" s="45"/>
    </row>
    <row r="196" spans="1:7" s="51" customFormat="1" ht="27">
      <c r="A196" s="47" t="s">
        <v>118</v>
      </c>
      <c r="B196" s="48">
        <v>12</v>
      </c>
      <c r="C196" s="151" t="str">
        <f xml:space="preserve"> IF(B196="","",setValueToTime(B196))</f>
        <v>1h</v>
      </c>
      <c r="D196" s="165" t="s">
        <v>131</v>
      </c>
      <c r="E196" s="239"/>
      <c r="F196" s="240"/>
      <c r="G196" s="50"/>
    </row>
    <row r="197" spans="1:7" s="51" customFormat="1" ht="27">
      <c r="A197" s="52" t="s">
        <v>66</v>
      </c>
      <c r="B197" s="53">
        <v>12</v>
      </c>
      <c r="C197" s="152" t="str">
        <f t="shared" ref="C197:C203" si="16" xml:space="preserve"> IF(B197="","",setValueToTime(B197))</f>
        <v>1h</v>
      </c>
      <c r="D197" s="166" t="s">
        <v>132</v>
      </c>
      <c r="E197" s="241"/>
      <c r="F197" s="242"/>
      <c r="G197" s="50"/>
    </row>
    <row r="198" spans="1:7" s="51" customFormat="1">
      <c r="A198" s="52" t="s">
        <v>59</v>
      </c>
      <c r="B198" s="53">
        <v>21</v>
      </c>
      <c r="C198" s="152" t="str">
        <f t="shared" si="16"/>
        <v>1h45min</v>
      </c>
      <c r="D198" s="166" t="s">
        <v>133</v>
      </c>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27.75" thickBot="1">
      <c r="A204" s="161" t="s">
        <v>27</v>
      </c>
      <c r="B204" s="82">
        <f>SUM(B196:B203)</f>
        <v>45</v>
      </c>
      <c r="C204" s="161" t="str">
        <f xml:space="preserve"> setValueToTime(B204)</f>
        <v>3h45min</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7</v>
      </c>
      <c r="C206" s="163"/>
      <c r="D206" s="156" t="s">
        <v>14</v>
      </c>
      <c r="E206" s="157" t="s">
        <v>125</v>
      </c>
      <c r="F206" s="158" t="s">
        <v>74</v>
      </c>
      <c r="G206" s="45"/>
    </row>
    <row r="207" spans="1:7" s="46" customFormat="1" ht="30" customHeight="1" thickBot="1">
      <c r="A207" s="77" t="s">
        <v>4</v>
      </c>
      <c r="B207" s="160" t="s">
        <v>38</v>
      </c>
      <c r="C207" s="159"/>
      <c r="D207" s="77" t="s">
        <v>12</v>
      </c>
      <c r="E207" s="247" t="s">
        <v>13</v>
      </c>
      <c r="F207" s="248"/>
      <c r="G207" s="45"/>
    </row>
    <row r="208" spans="1:7" s="51" customFormat="1">
      <c r="A208" s="47" t="s">
        <v>51</v>
      </c>
      <c r="B208" s="48">
        <v>6</v>
      </c>
      <c r="C208" s="151" t="str">
        <f xml:space="preserve"> IF(B208="","",setValueToTime(B208))</f>
        <v>0h30min</v>
      </c>
      <c r="D208" s="165" t="s">
        <v>127</v>
      </c>
      <c r="E208" s="239"/>
      <c r="F208" s="240"/>
      <c r="G208" s="50"/>
    </row>
    <row r="209" spans="1:7" s="51" customFormat="1" ht="27">
      <c r="A209" s="52" t="s">
        <v>65</v>
      </c>
      <c r="B209" s="53">
        <v>12</v>
      </c>
      <c r="C209" s="152" t="str">
        <f t="shared" ref="C209:C215" si="17" xml:space="preserve"> IF(B209="","",setValueToTime(B209))</f>
        <v>1h</v>
      </c>
      <c r="D209" s="166" t="s">
        <v>128</v>
      </c>
      <c r="E209" s="241"/>
      <c r="F209" s="242"/>
      <c r="G209" s="50"/>
    </row>
    <row r="210" spans="1:7" s="51" customFormat="1">
      <c r="A210" s="52" t="s">
        <v>56</v>
      </c>
      <c r="B210" s="53">
        <v>6</v>
      </c>
      <c r="C210" s="152" t="str">
        <f t="shared" si="17"/>
        <v>0h30min</v>
      </c>
      <c r="D210" s="166" t="s">
        <v>129</v>
      </c>
      <c r="E210" s="241"/>
      <c r="F210" s="242"/>
      <c r="G210" s="50"/>
    </row>
    <row r="211" spans="1:7" s="51" customFormat="1" ht="27">
      <c r="A211" s="52" t="s">
        <v>58</v>
      </c>
      <c r="B211" s="53">
        <v>12</v>
      </c>
      <c r="C211" s="152" t="str">
        <f t="shared" si="17"/>
        <v>1h</v>
      </c>
      <c r="D211" s="166" t="s">
        <v>130</v>
      </c>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6</v>
      </c>
      <c r="C218" s="163"/>
      <c r="D218" s="156" t="s">
        <v>14</v>
      </c>
      <c r="E218" s="157" t="s">
        <v>104</v>
      </c>
      <c r="F218" s="158" t="s">
        <v>91</v>
      </c>
      <c r="G218" s="45"/>
    </row>
    <row r="219" spans="1:7" s="46" customFormat="1" ht="30" customHeight="1" thickBot="1">
      <c r="A219" s="77" t="s">
        <v>4</v>
      </c>
      <c r="B219" s="160" t="s">
        <v>38</v>
      </c>
      <c r="C219" s="159"/>
      <c r="D219" s="77" t="s">
        <v>12</v>
      </c>
      <c r="E219" s="247" t="s">
        <v>13</v>
      </c>
      <c r="F219" s="248"/>
      <c r="G219" s="45"/>
    </row>
    <row r="220" spans="1:7" s="51" customFormat="1" ht="81">
      <c r="A220" s="47" t="s">
        <v>57</v>
      </c>
      <c r="B220" s="48">
        <v>24</v>
      </c>
      <c r="C220" s="151" t="str">
        <f xml:space="preserve"> IF(B220="","",setValueToTime(B220))</f>
        <v>2h</v>
      </c>
      <c r="D220" s="165" t="s">
        <v>107</v>
      </c>
      <c r="E220" s="239"/>
      <c r="F220" s="240"/>
      <c r="G220" s="50"/>
    </row>
    <row r="221" spans="1:7" s="51" customFormat="1" ht="27">
      <c r="A221" s="52" t="s">
        <v>66</v>
      </c>
      <c r="B221" s="53">
        <v>9</v>
      </c>
      <c r="C221" s="152" t="str">
        <f t="shared" ref="C221:C227" si="18" xml:space="preserve"> IF(B221="","",setValueToTime(B221))</f>
        <v>0h45min</v>
      </c>
      <c r="D221" s="166" t="s">
        <v>108</v>
      </c>
      <c r="E221" s="241"/>
      <c r="F221" s="242"/>
      <c r="G221" s="50"/>
    </row>
    <row r="222" spans="1:7" s="51" customFormat="1">
      <c r="A222" s="52" t="s">
        <v>15</v>
      </c>
      <c r="B222" s="53">
        <v>3</v>
      </c>
      <c r="C222" s="152" t="str">
        <f t="shared" si="18"/>
        <v>0h15min</v>
      </c>
      <c r="D222" s="166" t="s">
        <v>106</v>
      </c>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5</v>
      </c>
      <c r="C230" s="163"/>
      <c r="D230" s="156" t="s">
        <v>14</v>
      </c>
      <c r="E230" s="157" t="s">
        <v>104</v>
      </c>
      <c r="F230" s="158" t="s">
        <v>86</v>
      </c>
      <c r="G230" s="45"/>
    </row>
    <row r="231" spans="1:7" s="46" customFormat="1" ht="30" customHeight="1" thickBot="1">
      <c r="A231" s="77" t="s">
        <v>4</v>
      </c>
      <c r="B231" s="160" t="s">
        <v>38</v>
      </c>
      <c r="C231" s="159"/>
      <c r="D231" s="77" t="s">
        <v>12</v>
      </c>
      <c r="E231" s="247" t="s">
        <v>13</v>
      </c>
      <c r="F231" s="248"/>
      <c r="G231" s="45"/>
    </row>
    <row r="232" spans="1:7" s="51" customFormat="1" ht="148.5">
      <c r="A232" s="47" t="s">
        <v>58</v>
      </c>
      <c r="B232" s="48">
        <v>33</v>
      </c>
      <c r="C232" s="151" t="str">
        <f xml:space="preserve"> IF(B232="","",setValueToTime(B232))</f>
        <v>2h45min</v>
      </c>
      <c r="D232" s="165" t="s">
        <v>105</v>
      </c>
      <c r="E232" s="239"/>
      <c r="F232" s="240"/>
      <c r="G232" s="50"/>
    </row>
    <row r="233" spans="1:7" s="51" customFormat="1">
      <c r="A233" s="52" t="s">
        <v>15</v>
      </c>
      <c r="B233" s="53">
        <v>3</v>
      </c>
      <c r="C233" s="152" t="str">
        <f t="shared" ref="C233:C239" si="19" xml:space="preserve"> IF(B233="","",setValueToTime(B233))</f>
        <v>0h15min</v>
      </c>
      <c r="D233" s="166" t="s">
        <v>106</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61" t="s">
        <v>27</v>
      </c>
      <c r="B240" s="82">
        <f>SUM(B232:B239)</f>
        <v>36</v>
      </c>
      <c r="C240" s="161" t="str">
        <f xml:space="preserve"> setValueToTime(B240)</f>
        <v>3h</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4</v>
      </c>
      <c r="C242" s="163"/>
      <c r="D242" s="156" t="s">
        <v>14</v>
      </c>
      <c r="E242" s="157" t="s">
        <v>97</v>
      </c>
      <c r="F242" s="158" t="s">
        <v>91</v>
      </c>
      <c r="G242" s="45"/>
    </row>
    <row r="243" spans="1:7" s="46" customFormat="1" ht="30" customHeight="1" thickBot="1">
      <c r="A243" s="77" t="s">
        <v>4</v>
      </c>
      <c r="B243" s="160" t="s">
        <v>38</v>
      </c>
      <c r="C243" s="159"/>
      <c r="D243" s="77" t="s">
        <v>12</v>
      </c>
      <c r="E243" s="247" t="s">
        <v>13</v>
      </c>
      <c r="F243" s="248"/>
      <c r="G243" s="45"/>
    </row>
    <row r="244" spans="1:7" s="51" customFormat="1" ht="81">
      <c r="A244" s="47" t="s">
        <v>58</v>
      </c>
      <c r="B244" s="48">
        <v>33</v>
      </c>
      <c r="C244" s="151" t="str">
        <f xml:space="preserve"> IF(B244="","",setValueToTime(B244))</f>
        <v>2h45min</v>
      </c>
      <c r="D244" s="165" t="s">
        <v>102</v>
      </c>
      <c r="E244" s="239"/>
      <c r="F244" s="240"/>
      <c r="G244" s="50"/>
    </row>
    <row r="245" spans="1:7" s="51" customFormat="1">
      <c r="A245" s="52" t="s">
        <v>15</v>
      </c>
      <c r="B245" s="53">
        <v>3</v>
      </c>
      <c r="C245" s="152" t="str">
        <f t="shared" ref="C245:C251" si="20" xml:space="preserve"> IF(B245="","",setValueToTime(B245))</f>
        <v>0h15min</v>
      </c>
      <c r="D245" s="166" t="s">
        <v>103</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3</v>
      </c>
      <c r="C254" s="163"/>
      <c r="D254" s="156" t="s">
        <v>14</v>
      </c>
      <c r="E254" s="157" t="s">
        <v>97</v>
      </c>
      <c r="F254" s="158" t="s">
        <v>86</v>
      </c>
      <c r="G254" s="45"/>
    </row>
    <row r="255" spans="1:7" s="46" customFormat="1" ht="30" customHeight="1" thickBot="1">
      <c r="A255" s="77" t="s">
        <v>4</v>
      </c>
      <c r="B255" s="160" t="s">
        <v>38</v>
      </c>
      <c r="C255" s="159"/>
      <c r="D255" s="77" t="s">
        <v>12</v>
      </c>
      <c r="E255" s="247" t="s">
        <v>13</v>
      </c>
      <c r="F255" s="248"/>
      <c r="G255" s="45"/>
    </row>
    <row r="256" spans="1:7" s="51" customFormat="1">
      <c r="A256" s="47" t="s">
        <v>56</v>
      </c>
      <c r="B256" s="48">
        <v>3</v>
      </c>
      <c r="C256" s="151" t="str">
        <f xml:space="preserve"> IF(B256="","",setValueToTime(B256))</f>
        <v>0h15min</v>
      </c>
      <c r="D256" s="165" t="s">
        <v>98</v>
      </c>
      <c r="E256" s="239"/>
      <c r="F256" s="240"/>
      <c r="G256" s="50"/>
    </row>
    <row r="257" spans="1:7" s="51" customFormat="1">
      <c r="A257" s="52" t="s">
        <v>50</v>
      </c>
      <c r="B257" s="53">
        <v>15</v>
      </c>
      <c r="C257" s="152" t="str">
        <f t="shared" ref="C257:C263" si="21" xml:space="preserve"> IF(B257="","",setValueToTime(B257))</f>
        <v>1h15min</v>
      </c>
      <c r="D257" s="166" t="s">
        <v>99</v>
      </c>
      <c r="E257" s="241"/>
      <c r="F257" s="242"/>
      <c r="G257" s="50"/>
    </row>
    <row r="258" spans="1:7" s="51" customFormat="1" ht="27">
      <c r="A258" s="52" t="s">
        <v>52</v>
      </c>
      <c r="B258" s="53">
        <v>6</v>
      </c>
      <c r="C258" s="152" t="str">
        <f t="shared" si="21"/>
        <v>0h30min</v>
      </c>
      <c r="D258" s="166" t="s">
        <v>100</v>
      </c>
      <c r="E258" s="241"/>
      <c r="F258" s="242"/>
      <c r="G258" s="50"/>
    </row>
    <row r="259" spans="1:7" s="51" customFormat="1" ht="67.5">
      <c r="A259" s="52" t="s">
        <v>58</v>
      </c>
      <c r="B259" s="53">
        <v>12</v>
      </c>
      <c r="C259" s="152" t="str">
        <f t="shared" si="21"/>
        <v>1h</v>
      </c>
      <c r="D259" s="166" t="s">
        <v>101</v>
      </c>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61" t="s">
        <v>27</v>
      </c>
      <c r="B264" s="82">
        <f>SUM(B256:B263)</f>
        <v>36</v>
      </c>
      <c r="C264" s="161" t="str">
        <f xml:space="preserve"> setValueToTime(B264)</f>
        <v>3h</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2</v>
      </c>
      <c r="C266" s="163"/>
      <c r="D266" s="156" t="s">
        <v>14</v>
      </c>
      <c r="E266" s="157" t="s">
        <v>71</v>
      </c>
      <c r="F266" s="158" t="s">
        <v>75</v>
      </c>
      <c r="G266" s="45"/>
    </row>
    <row r="267" spans="1:7" s="46" customFormat="1" ht="30" customHeight="1" thickBot="1">
      <c r="A267" s="77" t="s">
        <v>4</v>
      </c>
      <c r="B267" s="160" t="s">
        <v>38</v>
      </c>
      <c r="C267" s="159"/>
      <c r="D267" s="77" t="s">
        <v>12</v>
      </c>
      <c r="E267" s="247" t="s">
        <v>13</v>
      </c>
      <c r="F267" s="248"/>
      <c r="G267" s="45"/>
    </row>
    <row r="268" spans="1:7" s="51" customFormat="1" ht="67.5">
      <c r="A268" s="47" t="s">
        <v>58</v>
      </c>
      <c r="B268" s="48">
        <v>33</v>
      </c>
      <c r="C268" s="151" t="str">
        <f xml:space="preserve"> IF(B268="","",setValueToTime(B268))</f>
        <v>2h45min</v>
      </c>
      <c r="D268" s="165" t="s">
        <v>84</v>
      </c>
      <c r="E268" s="239"/>
      <c r="F268" s="240"/>
      <c r="G268" s="50"/>
    </row>
    <row r="269" spans="1:7" s="51" customFormat="1">
      <c r="A269" s="52" t="s">
        <v>15</v>
      </c>
      <c r="B269" s="53">
        <v>3</v>
      </c>
      <c r="C269" s="152" t="str">
        <f t="shared" ref="C269:C275" si="22" xml:space="preserve"> IF(B269="","",setValueToTime(B269))</f>
        <v>0h15min</v>
      </c>
      <c r="D269" s="166" t="s">
        <v>85</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1</v>
      </c>
      <c r="C278" s="163"/>
      <c r="D278" s="156" t="s">
        <v>14</v>
      </c>
      <c r="E278" s="157" t="s">
        <v>71</v>
      </c>
      <c r="F278" s="158" t="s">
        <v>74</v>
      </c>
      <c r="G278" s="45"/>
    </row>
    <row r="279" spans="1:7" s="46" customFormat="1" ht="30" customHeight="1" thickBot="1">
      <c r="A279" s="77" t="s">
        <v>4</v>
      </c>
      <c r="B279" s="160" t="s">
        <v>38</v>
      </c>
      <c r="C279" s="159"/>
      <c r="D279" s="77" t="s">
        <v>12</v>
      </c>
      <c r="E279" s="247" t="s">
        <v>13</v>
      </c>
      <c r="F279" s="248"/>
      <c r="G279" s="45"/>
    </row>
    <row r="280" spans="1:7" s="51" customFormat="1">
      <c r="A280" s="47" t="s">
        <v>51</v>
      </c>
      <c r="B280" s="48">
        <v>12</v>
      </c>
      <c r="C280" s="151" t="str">
        <f xml:space="preserve"> IF(B280="","",setValueToTime(B280))</f>
        <v>1h</v>
      </c>
      <c r="D280" s="165" t="s">
        <v>79</v>
      </c>
      <c r="E280" s="239"/>
      <c r="F280" s="240"/>
      <c r="G280" s="50"/>
    </row>
    <row r="281" spans="1:7" s="51" customFormat="1">
      <c r="A281" s="52" t="s">
        <v>56</v>
      </c>
      <c r="B281" s="53">
        <v>9</v>
      </c>
      <c r="C281" s="152" t="str">
        <f t="shared" ref="C281:C287" si="23" xml:space="preserve"> IF(B281="","",setValueToTime(B281))</f>
        <v>0h45min</v>
      </c>
      <c r="D281" s="166" t="s">
        <v>69</v>
      </c>
      <c r="E281" s="241"/>
      <c r="F281" s="242"/>
      <c r="G281" s="50"/>
    </row>
    <row r="282" spans="1:7" s="51" customFormat="1" ht="27">
      <c r="A282" s="52" t="s">
        <v>64</v>
      </c>
      <c r="B282" s="53">
        <v>9</v>
      </c>
      <c r="C282" s="152" t="str">
        <f t="shared" si="23"/>
        <v>0h45min</v>
      </c>
      <c r="D282" s="166" t="s">
        <v>81</v>
      </c>
      <c r="E282" s="249" t="s">
        <v>80</v>
      </c>
      <c r="F282" s="242"/>
      <c r="G282" s="50"/>
    </row>
    <row r="283" spans="1:7" s="51" customFormat="1" ht="27">
      <c r="A283" s="52" t="s">
        <v>65</v>
      </c>
      <c r="B283" s="53">
        <v>3</v>
      </c>
      <c r="C283" s="152" t="str">
        <f t="shared" si="23"/>
        <v>0h15min</v>
      </c>
      <c r="D283" s="166" t="s">
        <v>82</v>
      </c>
      <c r="E283" s="241"/>
      <c r="F283" s="242"/>
      <c r="G283" s="50"/>
    </row>
    <row r="284" spans="1:7" s="51" customFormat="1" ht="40.5">
      <c r="A284" s="53" t="s">
        <v>58</v>
      </c>
      <c r="B284" s="53">
        <v>18</v>
      </c>
      <c r="C284" s="153" t="str">
        <f t="shared" si="23"/>
        <v>1h30min</v>
      </c>
      <c r="D284" s="166" t="s">
        <v>83</v>
      </c>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27.75" thickBot="1">
      <c r="A288" s="161" t="s">
        <v>27</v>
      </c>
      <c r="B288" s="82">
        <f>SUM(B280:B287)</f>
        <v>51</v>
      </c>
      <c r="C288" s="161" t="str">
        <f xml:space="preserve"> setValueToTime(B288)</f>
        <v>4h15min</v>
      </c>
      <c r="D288" s="120"/>
      <c r="E288" s="245"/>
      <c r="F288" s="246"/>
      <c r="G288" s="50"/>
    </row>
    <row r="289" spans="1:7" s="58" customFormat="1">
      <c r="A289" s="76"/>
      <c r="B289" s="76"/>
      <c r="C289" s="76"/>
      <c r="D289" s="76"/>
      <c r="E289" s="76"/>
      <c r="F289" s="76"/>
      <c r="G289" s="57"/>
    </row>
  </sheetData>
  <sheetProtection formatRows="0" insertRows="0" insertHyperlinks="0" deleteRows="0" selectLockedCells="1"/>
  <mergeCells count="240">
    <mergeCell ref="E12:F12"/>
    <mergeCell ref="E3:F3"/>
    <mergeCell ref="E4:F4"/>
    <mergeCell ref="E5:F5"/>
    <mergeCell ref="E6:F6"/>
    <mergeCell ref="E7:F7"/>
    <mergeCell ref="E8:F8"/>
    <mergeCell ref="E9:F9"/>
    <mergeCell ref="E10:F10"/>
    <mergeCell ref="E11:F11"/>
    <mergeCell ref="E48:F48"/>
    <mergeCell ref="E39:F39"/>
    <mergeCell ref="E40:F40"/>
    <mergeCell ref="E41:F41"/>
    <mergeCell ref="E42:F42"/>
    <mergeCell ref="E43:F43"/>
    <mergeCell ref="E44:F44"/>
    <mergeCell ref="E45:F45"/>
    <mergeCell ref="E46:F46"/>
    <mergeCell ref="E47:F47"/>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08:F108"/>
    <mergeCell ref="E99:F99"/>
    <mergeCell ref="E100:F100"/>
    <mergeCell ref="E101:F101"/>
    <mergeCell ref="E102:F102"/>
    <mergeCell ref="E103:F103"/>
    <mergeCell ref="E104:F104"/>
    <mergeCell ref="E105:F105"/>
    <mergeCell ref="E106:F106"/>
    <mergeCell ref="E107:F107"/>
    <mergeCell ref="E252:F252"/>
    <mergeCell ref="E255:F255"/>
    <mergeCell ref="E135:F135"/>
    <mergeCell ref="E136:F136"/>
    <mergeCell ref="E137:F137"/>
    <mergeCell ref="E138:F138"/>
    <mergeCell ref="E139:F139"/>
    <mergeCell ref="E140:F140"/>
    <mergeCell ref="E141:F141"/>
    <mergeCell ref="E142:F142"/>
    <mergeCell ref="E143:F143"/>
    <mergeCell ref="E144:F144"/>
    <mergeCell ref="E239:F239"/>
    <mergeCell ref="E240:F240"/>
    <mergeCell ref="E231:F231"/>
    <mergeCell ref="E232:F232"/>
    <mergeCell ref="E233:F233"/>
    <mergeCell ref="E234:F234"/>
    <mergeCell ref="E235:F235"/>
    <mergeCell ref="E236:F236"/>
    <mergeCell ref="E237:F237"/>
    <mergeCell ref="E238:F238"/>
    <mergeCell ref="E228:F228"/>
    <mergeCell ref="E207:F207"/>
    <mergeCell ref="E264:F264"/>
    <mergeCell ref="E286:F286"/>
    <mergeCell ref="E257:F257"/>
    <mergeCell ref="E258:F258"/>
    <mergeCell ref="E259:F259"/>
    <mergeCell ref="E159:F159"/>
    <mergeCell ref="E160:F160"/>
    <mergeCell ref="E161:F161"/>
    <mergeCell ref="E162:F162"/>
    <mergeCell ref="E163:F163"/>
    <mergeCell ref="E164:F164"/>
    <mergeCell ref="E165:F165"/>
    <mergeCell ref="E166:F166"/>
    <mergeCell ref="E167:F167"/>
    <mergeCell ref="E168:F168"/>
    <mergeCell ref="E243:F243"/>
    <mergeCell ref="E244:F244"/>
    <mergeCell ref="E245:F245"/>
    <mergeCell ref="E246:F246"/>
    <mergeCell ref="E247:F247"/>
    <mergeCell ref="E248:F248"/>
    <mergeCell ref="E249:F249"/>
    <mergeCell ref="E250:F250"/>
    <mergeCell ref="E251:F251"/>
    <mergeCell ref="E256:F256"/>
    <mergeCell ref="E288:F288"/>
    <mergeCell ref="E267:F267"/>
    <mergeCell ref="E268:F268"/>
    <mergeCell ref="E269:F269"/>
    <mergeCell ref="E270:F270"/>
    <mergeCell ref="E271:F271"/>
    <mergeCell ref="E272:F272"/>
    <mergeCell ref="E279:F279"/>
    <mergeCell ref="E280:F280"/>
    <mergeCell ref="E281:F281"/>
    <mergeCell ref="E282:F282"/>
    <mergeCell ref="E283:F283"/>
    <mergeCell ref="E284:F284"/>
    <mergeCell ref="E276:F276"/>
    <mergeCell ref="E285:F285"/>
    <mergeCell ref="E287:F287"/>
    <mergeCell ref="E273:F273"/>
    <mergeCell ref="E274:F274"/>
    <mergeCell ref="E275:F275"/>
    <mergeCell ref="E260:F260"/>
    <mergeCell ref="E261:F261"/>
    <mergeCell ref="E262:F262"/>
    <mergeCell ref="E263:F263"/>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47:F147"/>
    <mergeCell ref="E148:F148"/>
    <mergeCell ref="E149:F149"/>
    <mergeCell ref="E150:F150"/>
    <mergeCell ref="E151:F151"/>
    <mergeCell ref="E152:F152"/>
    <mergeCell ref="E153:F153"/>
    <mergeCell ref="E154:F154"/>
    <mergeCell ref="E155:F155"/>
    <mergeCell ref="E156:F156"/>
    <mergeCell ref="E171:F171"/>
    <mergeCell ref="E172:F172"/>
    <mergeCell ref="E173:F173"/>
    <mergeCell ref="E174:F174"/>
    <mergeCell ref="E175:F175"/>
    <mergeCell ref="E176:F176"/>
    <mergeCell ref="E177:F177"/>
    <mergeCell ref="E178:F178"/>
    <mergeCell ref="E179:F179"/>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88 B276 B264 B252 B240 B228 B216 B204 B192 B180 B168 B156 B144 B132 B120 B108 B96 B84 B72 B60 B48 B36 B24 B12">
      <formula1>0</formula1>
      <formula2>60</formula2>
    </dataValidation>
    <dataValidation type="list" allowBlank="1" showInputMessage="1" showErrorMessage="1" sqref="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282"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2021-02-18T15:28:32Z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