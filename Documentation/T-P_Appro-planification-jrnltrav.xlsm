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5" i="12"/>
  <c r="C4" i="12"/>
  <c r="C12" i="12"/>
  <c r="C17" i="12"/>
  <c r="C16" i="12"/>
  <c r="C24" i="12"/>
  <c r="B36" i="12" l="1"/>
  <c r="C35" i="12"/>
  <c r="C34" i="12"/>
  <c r="C33" i="12"/>
  <c r="C32" i="12"/>
  <c r="C31" i="12"/>
  <c r="C30" i="12"/>
  <c r="B48" i="12"/>
  <c r="C47" i="12"/>
  <c r="C46" i="12"/>
  <c r="C45" i="12"/>
  <c r="C44" i="12"/>
  <c r="C43" i="12"/>
  <c r="C42" i="12"/>
  <c r="C29" i="12"/>
  <c r="C28" i="12"/>
  <c r="C36" i="12"/>
  <c r="C41" i="12"/>
  <c r="C40" i="12"/>
  <c r="C48" i="12"/>
  <c r="B60" i="12" l="1"/>
  <c r="C59" i="12"/>
  <c r="C58" i="12"/>
  <c r="C57" i="12"/>
  <c r="C56" i="12"/>
  <c r="C55" i="12"/>
  <c r="C54" i="12"/>
  <c r="C53" i="12"/>
  <c r="C52" i="12"/>
  <c r="C60" i="12"/>
  <c r="B72" i="12" l="1"/>
  <c r="C71" i="12"/>
  <c r="C70" i="12"/>
  <c r="C69" i="12"/>
  <c r="C68" i="12"/>
  <c r="C67"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C65" i="10"/>
  <c r="B84" i="10"/>
  <c r="C83" i="10"/>
  <c r="C82" i="10"/>
  <c r="C81" i="10"/>
  <c r="C80" i="10"/>
  <c r="C79" i="10"/>
  <c r="C78" i="10"/>
  <c r="C77" i="10"/>
  <c r="B84" i="12"/>
  <c r="C83" i="12"/>
  <c r="C82" i="12"/>
  <c r="C81" i="12"/>
  <c r="C80" i="12"/>
  <c r="C79" i="12"/>
  <c r="C78" i="12"/>
  <c r="C77" i="12"/>
  <c r="C66" i="12"/>
  <c r="C65" i="12"/>
  <c r="C64" i="12"/>
  <c r="C72" i="12"/>
  <c r="C53" i="10"/>
  <c r="C52" i="10"/>
  <c r="C60" i="10"/>
  <c r="C64" i="10"/>
  <c r="C72" i="10"/>
  <c r="C76" i="10"/>
  <c r="C84" i="10"/>
  <c r="C76" i="12"/>
  <c r="C84" i="12"/>
  <c r="C29" i="10"/>
  <c r="C28" i="10"/>
  <c r="C36" i="10"/>
  <c r="C41" i="10"/>
  <c r="C40" i="10"/>
  <c r="C48" i="10"/>
  <c r="C5" i="10"/>
  <c r="C12" i="10"/>
  <c r="C4" i="10"/>
  <c r="C17" i="10"/>
  <c r="C24" i="10"/>
  <c r="C16" i="10"/>
  <c r="B96" i="12" l="1"/>
  <c r="C95" i="12"/>
  <c r="C94" i="12"/>
  <c r="C93" i="12"/>
  <c r="C92" i="12"/>
  <c r="C91" i="12"/>
  <c r="C90" i="12"/>
  <c r="C89" i="12"/>
  <c r="C88" i="12"/>
  <c r="C96" i="12"/>
  <c r="B108" i="12" l="1"/>
  <c r="C107" i="12"/>
  <c r="C106" i="12"/>
  <c r="C105" i="12"/>
  <c r="C104" i="12"/>
  <c r="C103" i="12"/>
  <c r="C102" i="12"/>
  <c r="C101" i="12"/>
  <c r="C100" i="12"/>
  <c r="C108" i="12"/>
  <c r="B120" i="12" l="1"/>
  <c r="C119" i="12"/>
  <c r="C118" i="12"/>
  <c r="C117" i="12"/>
  <c r="C116" i="12"/>
  <c r="C115" i="12"/>
  <c r="C114" i="12"/>
  <c r="C113" i="12"/>
  <c r="C112" i="12"/>
  <c r="C120" i="12"/>
  <c r="B132" i="12" l="1"/>
  <c r="C131" i="12"/>
  <c r="C130" i="12"/>
  <c r="C129" i="12"/>
  <c r="C128" i="12"/>
  <c r="C127" i="12"/>
  <c r="C126" i="12"/>
  <c r="C124" i="12"/>
  <c r="C125" i="12"/>
  <c r="C132" i="12"/>
  <c r="B144" i="12" l="1"/>
  <c r="C143" i="12"/>
  <c r="C142" i="12"/>
  <c r="C141" i="12"/>
  <c r="C140" i="12"/>
  <c r="C139" i="12"/>
  <c r="C138" i="12"/>
  <c r="B156" i="12"/>
  <c r="C155" i="12"/>
  <c r="C154" i="12"/>
  <c r="C153" i="12"/>
  <c r="C152" i="12"/>
  <c r="C151" i="12"/>
  <c r="B168" i="12"/>
  <c r="C167" i="12"/>
  <c r="C166" i="12"/>
  <c r="C165" i="12"/>
  <c r="C164" i="12"/>
  <c r="C149" i="12"/>
  <c r="C156" i="12"/>
  <c r="C144" i="12"/>
  <c r="C168" i="12"/>
  <c r="C137" i="12"/>
  <c r="C161" i="12"/>
  <c r="C148" i="12"/>
  <c r="C162" i="12"/>
  <c r="C163" i="12"/>
  <c r="C150" i="12"/>
  <c r="C160" i="12"/>
  <c r="C136" i="12"/>
  <c r="B96" i="10" l="1"/>
  <c r="C95" i="10"/>
  <c r="C94" i="10"/>
  <c r="C93" i="10"/>
  <c r="C92" i="10"/>
  <c r="C91" i="10"/>
  <c r="C90" i="10"/>
  <c r="B108" i="10"/>
  <c r="C107" i="10"/>
  <c r="C106" i="10"/>
  <c r="C105" i="10"/>
  <c r="C104" i="10"/>
  <c r="C103" i="10"/>
  <c r="C102" i="10"/>
  <c r="C101" i="10"/>
  <c r="B120" i="10"/>
  <c r="C119" i="10"/>
  <c r="C118" i="10"/>
  <c r="C117" i="10"/>
  <c r="C116" i="10"/>
  <c r="C115" i="10"/>
  <c r="B132" i="10"/>
  <c r="C131" i="10"/>
  <c r="C130" i="10"/>
  <c r="C129" i="10"/>
  <c r="C128" i="10"/>
  <c r="C127" i="10"/>
  <c r="C126" i="10"/>
  <c r="C125" i="10"/>
  <c r="B144" i="10"/>
  <c r="C143" i="10"/>
  <c r="C142" i="10"/>
  <c r="C141" i="10"/>
  <c r="C140" i="10"/>
  <c r="C139" i="10"/>
  <c r="B156" i="10"/>
  <c r="C155" i="10"/>
  <c r="C154" i="10"/>
  <c r="C153" i="10"/>
  <c r="C152" i="10"/>
  <c r="C151" i="10"/>
  <c r="C150" i="10"/>
  <c r="B168" i="10"/>
  <c r="C167" i="10"/>
  <c r="C166" i="10"/>
  <c r="C165" i="10"/>
  <c r="C164" i="10"/>
  <c r="C163" i="10"/>
  <c r="C162" i="10"/>
  <c r="C137" i="10"/>
  <c r="C108" i="10"/>
  <c r="C160" i="10"/>
  <c r="C120" i="10"/>
  <c r="C89" i="10"/>
  <c r="C112" i="10"/>
  <c r="C114" i="10"/>
  <c r="C100" i="10"/>
  <c r="C96" i="10"/>
  <c r="C124" i="10"/>
  <c r="C161" i="10"/>
  <c r="C144" i="10"/>
  <c r="C136" i="10"/>
  <c r="C168" i="10"/>
  <c r="C156" i="10"/>
  <c r="C113" i="10"/>
  <c r="C88" i="10"/>
  <c r="C138" i="10"/>
  <c r="C132" i="10"/>
  <c r="B180" i="12" l="1"/>
  <c r="C179" i="12"/>
  <c r="C178" i="12"/>
  <c r="C177" i="12"/>
  <c r="C176" i="12"/>
  <c r="C175" i="12"/>
  <c r="B192" i="12"/>
  <c r="C191" i="12"/>
  <c r="C190" i="12"/>
  <c r="C189" i="12"/>
  <c r="C188" i="12"/>
  <c r="C187" i="12"/>
  <c r="C186" i="12"/>
  <c r="C174" i="12"/>
  <c r="C184" i="12"/>
  <c r="C180" i="12"/>
  <c r="C192" i="12"/>
  <c r="C172" i="12"/>
  <c r="C185" i="12"/>
  <c r="C173" i="12"/>
  <c r="B204" i="12" l="1"/>
  <c r="C203" i="12"/>
  <c r="C202" i="12"/>
  <c r="C201" i="12"/>
  <c r="C200" i="12"/>
  <c r="C199" i="12"/>
  <c r="C198" i="12"/>
  <c r="C196" i="12"/>
  <c r="C197" i="12"/>
  <c r="C204" i="12"/>
  <c r="B216" i="12" l="1"/>
  <c r="C215" i="12"/>
  <c r="C214" i="12"/>
  <c r="C213" i="12"/>
  <c r="C212" i="12"/>
  <c r="C209" i="12"/>
  <c r="C216" i="12"/>
  <c r="C211" i="12"/>
  <c r="C210" i="12"/>
  <c r="C208" i="12"/>
  <c r="B180" i="10" l="1"/>
  <c r="C179" i="10"/>
  <c r="C178" i="10"/>
  <c r="C177" i="10"/>
  <c r="C176" i="10"/>
  <c r="C175" i="10"/>
  <c r="C174" i="10"/>
  <c r="B192" i="10"/>
  <c r="C191" i="10"/>
  <c r="C190" i="10"/>
  <c r="C189" i="10"/>
  <c r="C188" i="10"/>
  <c r="C187" i="10"/>
  <c r="C186" i="10"/>
  <c r="C185" i="10"/>
  <c r="B204" i="10"/>
  <c r="C203" i="10"/>
  <c r="C202" i="10"/>
  <c r="C201" i="10"/>
  <c r="C200" i="10"/>
  <c r="C199" i="10"/>
  <c r="B216" i="10"/>
  <c r="C215" i="10"/>
  <c r="C214" i="10"/>
  <c r="C213" i="10"/>
  <c r="C212" i="10"/>
  <c r="C211" i="10"/>
  <c r="C173" i="10"/>
  <c r="C204" i="10"/>
  <c r="C180" i="10"/>
  <c r="C192" i="10"/>
  <c r="C216" i="10"/>
  <c r="C197" i="10"/>
  <c r="C196" i="10"/>
  <c r="C172" i="10"/>
  <c r="C208" i="10"/>
  <c r="C209" i="10"/>
  <c r="C198" i="10"/>
  <c r="C210" i="10"/>
  <c r="C184" i="10"/>
  <c r="B228" i="12" l="1"/>
  <c r="C227" i="12"/>
  <c r="C226" i="12"/>
  <c r="C225" i="12"/>
  <c r="C224" i="12"/>
  <c r="C223" i="12"/>
  <c r="C222" i="12"/>
  <c r="B240" i="12"/>
  <c r="C239" i="12"/>
  <c r="C238" i="12"/>
  <c r="C237" i="12"/>
  <c r="B228" i="10"/>
  <c r="C227" i="10"/>
  <c r="C226" i="10"/>
  <c r="C225" i="10"/>
  <c r="C224" i="10"/>
  <c r="C223" i="10"/>
  <c r="C222" i="10"/>
  <c r="B240" i="10"/>
  <c r="C239" i="10"/>
  <c r="C238" i="10"/>
  <c r="C237" i="10"/>
  <c r="C236" i="10"/>
  <c r="C220" i="12"/>
  <c r="C232" i="10"/>
  <c r="C221" i="12"/>
  <c r="C236" i="12"/>
  <c r="C233" i="12"/>
  <c r="C240" i="10"/>
  <c r="C234" i="12"/>
  <c r="C233" i="10"/>
  <c r="C228" i="12"/>
  <c r="C240" i="12"/>
  <c r="C234" i="10"/>
  <c r="C235" i="10"/>
  <c r="C232" i="12"/>
  <c r="C228" i="10"/>
  <c r="C235" i="12"/>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<sst xmlns="http://schemas.openxmlformats.org/spreadsheetml/2006/main" count="891" uniqueCount="169">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</sst>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28" zoomScale="55" zoomScaleNormal="55" zoomScaleSheetLayoutView="10" zoomScalePageLayoutView="10" workbookViewId="0">
      <selection activeCell="C59" sqref="C59:C60"/>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1" t="str">
        <f>E96</f>
        <v>253h30min</v>
      </c>
      <c r="H9" s="221"/>
      <c r="I9" s="221"/>
      <c r="J9" s="221"/>
      <c r="K9" s="221"/>
      <c r="L9" s="221"/>
      <c r="M9" s="221"/>
      <c r="N9" s="221"/>
      <c r="O9" s="221"/>
      <c r="P9" s="221"/>
      <c r="Q9" s="221"/>
      <c r="R9" s="221"/>
      <c r="S9" s="221"/>
      <c r="T9" s="221"/>
      <c r="U9" s="221"/>
      <c r="V9" s="118"/>
      <c r="W9" s="220" t="s">
        <v>21</v>
      </c>
      <c r="X9" s="220"/>
      <c r="Y9" s="220"/>
      <c r="Z9" s="220"/>
      <c r="AA9" s="220"/>
      <c r="AB9" s="220"/>
      <c r="AC9" s="220"/>
      <c r="AD9" s="220"/>
      <c r="AE9" s="220"/>
      <c r="AF9" s="220"/>
      <c r="AG9" s="220"/>
      <c r="AH9" s="221" t="str">
        <f>E98</f>
        <v>50h45min</v>
      </c>
      <c r="AI9" s="221"/>
      <c r="AJ9" s="221"/>
      <c r="AK9" s="221"/>
      <c r="AL9" s="221"/>
      <c r="AM9" s="221"/>
      <c r="AN9" s="221"/>
      <c r="AO9" s="221"/>
      <c r="AP9" s="221"/>
      <c r="AQ9" s="221"/>
      <c r="AR9" s="221"/>
      <c r="AS9" s="221"/>
      <c r="AT9" s="221"/>
      <c r="AU9" s="221"/>
      <c r="AV9" s="221"/>
      <c r="AW9" s="221"/>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14"/>
      <c r="D11" s="214"/>
      <c r="E11" s="214"/>
      <c r="F11" s="219" t="s">
        <v>71</v>
      </c>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t="s">
        <v>71</v>
      </c>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15"/>
      <c r="D12" s="215"/>
      <c r="E12" s="215"/>
      <c r="F12" s="218" t="s">
        <v>74</v>
      </c>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t="s">
        <v>75</v>
      </c>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31" t="s">
        <v>6</v>
      </c>
      <c r="D13" s="143"/>
      <c r="E13" s="233"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32"/>
      <c r="D14" s="144"/>
      <c r="E14" s="234"/>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1"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13"/>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1"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13"/>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1"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12"/>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1"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12"/>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1"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13"/>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1"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12"/>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1"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12"/>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1"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12"/>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1"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12"/>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
      </c>
      <c r="C33" s="211"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
      </c>
      <c r="C34" s="212"/>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1"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12"/>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1"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12"/>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1"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12"/>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1"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12"/>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1"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12"/>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1"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12"/>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1"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12"/>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1"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13"/>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1"/>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12"/>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1"/>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13"/>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1"/>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12"/>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1"/>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13"/>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1"/>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13"/>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1"/>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12"/>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1"/>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13"/>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1"/>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13"/>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1"/>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12"/>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1"/>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13"/>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1"/>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12"/>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1"/>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13"/>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1"/>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13"/>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1"/>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12"/>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1"/>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13"/>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1"/>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13"/>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1"/>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12"/>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1"/>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13"/>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1"/>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12"/>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1"/>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13"/>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1"/>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13"/>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1"/>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12"/>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23" t="s">
        <v>8</v>
      </c>
      <c r="D95" s="224"/>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25"/>
      <c r="D96" s="226"/>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7" t="s">
        <v>9</v>
      </c>
      <c r="D97" s="228"/>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9"/>
      <c r="D98" s="230"/>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241"/>
  <sheetViews>
    <sheetView showGridLines="0" zoomScaleNormal="100" zoomScaleSheetLayoutView="98" workbookViewId="0">
      <pane ySplit="1" topLeftCell="A227" activePane="bottomLeft" state="frozen"/>
      <selection activeCell="BC13" sqref="BC13"/>
      <selection pane="bottomLeft" activeCell="G241" sqref="G241"/>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20</v>
      </c>
      <c r="C2" s="162"/>
      <c r="D2" s="81" t="s">
        <v>14</v>
      </c>
      <c r="E2" s="93">
        <v>44239</v>
      </c>
      <c r="F2" s="125" t="s">
        <v>75</v>
      </c>
      <c r="G2" s="45"/>
    </row>
    <row r="3" spans="1:7" s="46" customFormat="1" ht="30" customHeight="1" thickBot="1">
      <c r="A3" s="79" t="s">
        <v>4</v>
      </c>
      <c r="B3" s="149" t="s">
        <v>38</v>
      </c>
      <c r="C3" s="150"/>
      <c r="D3" s="79" t="s">
        <v>12</v>
      </c>
      <c r="E3" s="241" t="s">
        <v>13</v>
      </c>
      <c r="F3" s="242"/>
      <c r="G3" s="45"/>
    </row>
    <row r="4" spans="1:7" s="51" customFormat="1" ht="27">
      <c r="A4" s="47" t="s">
        <v>165</v>
      </c>
      <c r="B4" s="48">
        <v>34</v>
      </c>
      <c r="C4" s="151" t="str">
        <f xml:space="preserve"> IF(B4="","",setValueToTime(B4))</f>
        <v>2h50min</v>
      </c>
      <c r="D4" s="165" t="s">
        <v>166</v>
      </c>
      <c r="E4" s="243"/>
      <c r="F4" s="244"/>
      <c r="G4" s="50"/>
    </row>
    <row r="5" spans="1:7" s="51" customFormat="1">
      <c r="A5" s="52" t="s">
        <v>15</v>
      </c>
      <c r="B5" s="53">
        <v>2</v>
      </c>
      <c r="C5" s="152" t="str">
        <f t="shared" ref="C5:C11" si="0" xml:space="preserve"> IF(B5="","",setValueToTime(B5))</f>
        <v>0h10min</v>
      </c>
      <c r="D5" s="166" t="s">
        <v>106</v>
      </c>
      <c r="E5" s="235"/>
      <c r="F5" s="236"/>
      <c r="G5" s="50"/>
    </row>
    <row r="6" spans="1:7" s="51" customFormat="1">
      <c r="A6" s="52"/>
      <c r="B6" s="53"/>
      <c r="C6" s="152" t="str">
        <f t="shared" si="0"/>
        <v/>
      </c>
      <c r="D6" s="54"/>
      <c r="E6" s="235"/>
      <c r="F6" s="236"/>
      <c r="G6" s="50"/>
    </row>
    <row r="7" spans="1:7" s="51" customFormat="1">
      <c r="A7" s="52"/>
      <c r="B7" s="53"/>
      <c r="C7" s="152" t="str">
        <f t="shared" si="0"/>
        <v/>
      </c>
      <c r="D7" s="54"/>
      <c r="E7" s="235"/>
      <c r="F7" s="236"/>
      <c r="G7" s="50"/>
    </row>
    <row r="8" spans="1:7" s="51" customFormat="1">
      <c r="A8" s="53"/>
      <c r="B8" s="53"/>
      <c r="C8" s="153" t="str">
        <f t="shared" si="0"/>
        <v/>
      </c>
      <c r="D8" s="54"/>
      <c r="E8" s="235"/>
      <c r="F8" s="236"/>
      <c r="G8" s="50"/>
    </row>
    <row r="9" spans="1:7" s="51" customFormat="1">
      <c r="A9" s="53"/>
      <c r="B9" s="53"/>
      <c r="C9" s="153" t="str">
        <f t="shared" si="0"/>
        <v/>
      </c>
      <c r="D9" s="54"/>
      <c r="E9" s="235"/>
      <c r="F9" s="236"/>
      <c r="G9" s="50"/>
    </row>
    <row r="10" spans="1:7" s="51" customFormat="1">
      <c r="A10" s="53"/>
      <c r="B10" s="53"/>
      <c r="C10" s="153" t="str">
        <f t="shared" si="0"/>
        <v/>
      </c>
      <c r="D10" s="54"/>
      <c r="E10" s="235"/>
      <c r="F10" s="236"/>
      <c r="G10" s="50"/>
    </row>
    <row r="11" spans="1:7" s="51" customFormat="1" ht="15" thickBot="1">
      <c r="A11" s="55"/>
      <c r="B11" s="55"/>
      <c r="C11" s="154" t="str">
        <f t="shared" si="0"/>
        <v/>
      </c>
      <c r="D11" s="56"/>
      <c r="E11" s="237"/>
      <c r="F11" s="238"/>
      <c r="G11" s="50"/>
    </row>
    <row r="12" spans="1:7" s="51" customFormat="1" ht="15" thickBot="1">
      <c r="A12" s="110" t="s">
        <v>27</v>
      </c>
      <c r="B12" s="83">
        <f>SUM(B4:B11)</f>
        <v>36</v>
      </c>
      <c r="C12" s="110" t="str">
        <f xml:space="preserve"> setValueToTime(B12)</f>
        <v>3h</v>
      </c>
      <c r="D12" s="119"/>
      <c r="E12" s="239"/>
      <c r="F12" s="240"/>
      <c r="G12" s="50"/>
    </row>
    <row r="13" spans="1:7" s="58" customFormat="1" ht="15" thickBot="1">
      <c r="A13" s="78"/>
      <c r="B13" s="78"/>
      <c r="C13" s="78"/>
      <c r="D13" s="78"/>
      <c r="E13" s="78"/>
      <c r="F13" s="78"/>
      <c r="G13" s="57"/>
    </row>
    <row r="14" spans="1:7" s="46" customFormat="1" ht="30" customHeight="1" thickBot="1">
      <c r="A14" s="80" t="s">
        <v>11</v>
      </c>
      <c r="B14" s="162">
        <v>19</v>
      </c>
      <c r="C14" s="162"/>
      <c r="D14" s="81" t="s">
        <v>14</v>
      </c>
      <c r="E14" s="93">
        <v>44239</v>
      </c>
      <c r="F14" s="125" t="s">
        <v>74</v>
      </c>
      <c r="G14" s="45"/>
    </row>
    <row r="15" spans="1:7" s="46" customFormat="1" ht="30" customHeight="1" thickBot="1">
      <c r="A15" s="79" t="s">
        <v>4</v>
      </c>
      <c r="B15" s="149" t="s">
        <v>38</v>
      </c>
      <c r="C15" s="150"/>
      <c r="D15" s="79" t="s">
        <v>12</v>
      </c>
      <c r="E15" s="241" t="s">
        <v>13</v>
      </c>
      <c r="F15" s="242"/>
      <c r="G15" s="45"/>
    </row>
    <row r="16" spans="1:7" s="51" customFormat="1">
      <c r="A16" s="47" t="s">
        <v>50</v>
      </c>
      <c r="B16" s="48">
        <v>33</v>
      </c>
      <c r="C16" s="151" t="str">
        <f xml:space="preserve"> IF(B16="","",setValueToTime(B16))</f>
        <v>2h45min</v>
      </c>
      <c r="D16" s="165" t="s">
        <v>164</v>
      </c>
      <c r="E16" s="243"/>
      <c r="F16" s="244"/>
      <c r="G16" s="50"/>
    </row>
    <row r="17" spans="1:7" s="51" customFormat="1">
      <c r="A17" s="52" t="s">
        <v>15</v>
      </c>
      <c r="B17" s="53">
        <v>3</v>
      </c>
      <c r="C17" s="152" t="str">
        <f t="shared" ref="C17:C23" si="1" xml:space="preserve"> IF(B17="","",setValueToTime(B17))</f>
        <v>0h15min</v>
      </c>
      <c r="D17" s="166" t="s">
        <v>106</v>
      </c>
      <c r="E17" s="235"/>
      <c r="F17" s="236"/>
      <c r="G17" s="50"/>
    </row>
    <row r="18" spans="1:7" s="51" customFormat="1">
      <c r="A18" s="52"/>
      <c r="B18" s="53"/>
      <c r="C18" s="152" t="str">
        <f t="shared" si="1"/>
        <v/>
      </c>
      <c r="D18" s="54"/>
      <c r="E18" s="235"/>
      <c r="F18" s="236"/>
      <c r="G18" s="50"/>
    </row>
    <row r="19" spans="1:7" s="51" customFormat="1">
      <c r="A19" s="52"/>
      <c r="B19" s="53"/>
      <c r="C19" s="152" t="str">
        <f t="shared" si="1"/>
        <v/>
      </c>
      <c r="D19" s="54"/>
      <c r="E19" s="235"/>
      <c r="F19" s="236"/>
      <c r="G19" s="50"/>
    </row>
    <row r="20" spans="1:7" s="51" customFormat="1">
      <c r="A20" s="53"/>
      <c r="B20" s="53"/>
      <c r="C20" s="153" t="str">
        <f t="shared" si="1"/>
        <v/>
      </c>
      <c r="D20" s="54"/>
      <c r="E20" s="235"/>
      <c r="F20" s="236"/>
      <c r="G20" s="50"/>
    </row>
    <row r="21" spans="1:7" s="51" customFormat="1">
      <c r="A21" s="53"/>
      <c r="B21" s="53"/>
      <c r="C21" s="153" t="str">
        <f t="shared" si="1"/>
        <v/>
      </c>
      <c r="D21" s="54"/>
      <c r="E21" s="235"/>
      <c r="F21" s="236"/>
      <c r="G21" s="50"/>
    </row>
    <row r="22" spans="1:7" s="51" customFormat="1">
      <c r="A22" s="53"/>
      <c r="B22" s="53"/>
      <c r="C22" s="153" t="str">
        <f t="shared" si="1"/>
        <v/>
      </c>
      <c r="D22" s="54"/>
      <c r="E22" s="235"/>
      <c r="F22" s="236"/>
      <c r="G22" s="50"/>
    </row>
    <row r="23" spans="1:7" s="51" customFormat="1" ht="15" thickBot="1">
      <c r="A23" s="55"/>
      <c r="B23" s="55"/>
      <c r="C23" s="154" t="str">
        <f t="shared" si="1"/>
        <v/>
      </c>
      <c r="D23" s="56"/>
      <c r="E23" s="237"/>
      <c r="F23" s="238"/>
      <c r="G23" s="50"/>
    </row>
    <row r="24" spans="1:7" s="51" customFormat="1" ht="15" thickBot="1">
      <c r="A24" s="110" t="s">
        <v>27</v>
      </c>
      <c r="B24" s="83">
        <f>SUM(B16:B23)</f>
        <v>36</v>
      </c>
      <c r="C24" s="110" t="str">
        <f xml:space="preserve"> setValueToTime(B24)</f>
        <v>3h</v>
      </c>
      <c r="D24" s="119"/>
      <c r="E24" s="239"/>
      <c r="F24" s="240"/>
      <c r="G24" s="50"/>
    </row>
    <row r="25" spans="1:7" s="58" customFormat="1" ht="15" thickBot="1">
      <c r="A25" s="78"/>
      <c r="B25" s="78"/>
      <c r="C25" s="78"/>
      <c r="D25" s="78"/>
      <c r="E25" s="78"/>
      <c r="F25" s="78"/>
      <c r="G25" s="57"/>
    </row>
    <row r="26" spans="1:7" s="46" customFormat="1" ht="30" customHeight="1" thickBot="1">
      <c r="A26" s="80" t="s">
        <v>11</v>
      </c>
      <c r="B26" s="162">
        <v>18</v>
      </c>
      <c r="C26" s="162"/>
      <c r="D26" s="81" t="s">
        <v>14</v>
      </c>
      <c r="E26" s="93">
        <v>44238</v>
      </c>
      <c r="F26" s="125" t="s">
        <v>75</v>
      </c>
      <c r="G26" s="45"/>
    </row>
    <row r="27" spans="1:7" s="46" customFormat="1" ht="30" customHeight="1" thickBot="1">
      <c r="A27" s="79" t="s">
        <v>4</v>
      </c>
      <c r="B27" s="149" t="s">
        <v>38</v>
      </c>
      <c r="C27" s="150"/>
      <c r="D27" s="79" t="s">
        <v>12</v>
      </c>
      <c r="E27" s="241" t="s">
        <v>13</v>
      </c>
      <c r="F27" s="242"/>
      <c r="G27" s="45"/>
    </row>
    <row r="28" spans="1:7" s="51" customFormat="1">
      <c r="A28" s="47" t="s">
        <v>50</v>
      </c>
      <c r="B28" s="48">
        <v>33</v>
      </c>
      <c r="C28" s="151" t="str">
        <f xml:space="preserve"> IF(B28="","",setValueToTime(B28))</f>
        <v>2h45min</v>
      </c>
      <c r="D28" s="165" t="s">
        <v>161</v>
      </c>
      <c r="E28" s="243"/>
      <c r="F28" s="244"/>
      <c r="G28" s="50"/>
    </row>
    <row r="29" spans="1:7" s="51" customFormat="1">
      <c r="A29" s="52" t="s">
        <v>15</v>
      </c>
      <c r="B29" s="53">
        <v>3</v>
      </c>
      <c r="C29" s="152" t="str">
        <f t="shared" ref="C29:C35" si="2" xml:space="preserve"> IF(B29="","",setValueToTime(B29))</f>
        <v>0h15min</v>
      </c>
      <c r="D29" s="166" t="s">
        <v>151</v>
      </c>
      <c r="E29" s="235"/>
      <c r="F29" s="236"/>
      <c r="G29" s="50"/>
    </row>
    <row r="30" spans="1:7" s="51" customFormat="1">
      <c r="A30" s="52"/>
      <c r="B30" s="53"/>
      <c r="C30" s="152" t="str">
        <f t="shared" si="2"/>
        <v/>
      </c>
      <c r="D30" s="54"/>
      <c r="E30" s="235"/>
      <c r="F30" s="236"/>
      <c r="G30" s="50"/>
    </row>
    <row r="31" spans="1:7" s="51" customFormat="1">
      <c r="A31" s="52"/>
      <c r="B31" s="53"/>
      <c r="C31" s="152" t="str">
        <f t="shared" si="2"/>
        <v/>
      </c>
      <c r="D31" s="54"/>
      <c r="E31" s="235"/>
      <c r="F31" s="236"/>
      <c r="G31" s="50"/>
    </row>
    <row r="32" spans="1:7" s="51" customFormat="1">
      <c r="A32" s="53"/>
      <c r="B32" s="53"/>
      <c r="C32" s="153" t="str">
        <f t="shared" si="2"/>
        <v/>
      </c>
      <c r="D32" s="54"/>
      <c r="E32" s="235"/>
      <c r="F32" s="236"/>
      <c r="G32" s="50"/>
    </row>
    <row r="33" spans="1:7" s="51" customFormat="1">
      <c r="A33" s="53"/>
      <c r="B33" s="53"/>
      <c r="C33" s="153" t="str">
        <f t="shared" si="2"/>
        <v/>
      </c>
      <c r="D33" s="54"/>
      <c r="E33" s="235"/>
      <c r="F33" s="236"/>
      <c r="G33" s="50"/>
    </row>
    <row r="34" spans="1:7" s="51" customFormat="1">
      <c r="A34" s="53"/>
      <c r="B34" s="53"/>
      <c r="C34" s="153" t="str">
        <f t="shared" si="2"/>
        <v/>
      </c>
      <c r="D34" s="54"/>
      <c r="E34" s="235"/>
      <c r="F34" s="236"/>
      <c r="G34" s="50"/>
    </row>
    <row r="35" spans="1:7" s="51" customFormat="1" ht="15" thickBot="1">
      <c r="A35" s="55"/>
      <c r="B35" s="55"/>
      <c r="C35" s="154" t="str">
        <f t="shared" si="2"/>
        <v/>
      </c>
      <c r="D35" s="56"/>
      <c r="E35" s="237"/>
      <c r="F35" s="238"/>
      <c r="G35" s="50"/>
    </row>
    <row r="36" spans="1:7" s="51" customFormat="1" ht="15" thickBot="1">
      <c r="A36" s="110" t="s">
        <v>27</v>
      </c>
      <c r="B36" s="83">
        <f>SUM(B28:B35)</f>
        <v>36</v>
      </c>
      <c r="C36" s="110" t="str">
        <f xml:space="preserve"> setValueToTime(B36)</f>
        <v>3h</v>
      </c>
      <c r="D36" s="119"/>
      <c r="E36" s="239"/>
      <c r="F36" s="240"/>
      <c r="G36" s="50"/>
    </row>
    <row r="37" spans="1:7" s="58" customFormat="1" ht="15" thickBot="1">
      <c r="A37" s="78"/>
      <c r="B37" s="78"/>
      <c r="C37" s="78"/>
      <c r="D37" s="78"/>
      <c r="E37" s="78"/>
      <c r="F37" s="78"/>
      <c r="G37" s="57"/>
    </row>
    <row r="38" spans="1:7" s="46" customFormat="1" ht="30" customHeight="1" thickBot="1">
      <c r="A38" s="80" t="s">
        <v>11</v>
      </c>
      <c r="B38" s="162">
        <v>17</v>
      </c>
      <c r="C38" s="162"/>
      <c r="D38" s="81" t="s">
        <v>14</v>
      </c>
      <c r="E38" s="93">
        <v>44238</v>
      </c>
      <c r="F38" s="125" t="s">
        <v>74</v>
      </c>
      <c r="G38" s="45"/>
    </row>
    <row r="39" spans="1:7" s="46" customFormat="1" ht="30" customHeight="1" thickBot="1">
      <c r="A39" s="79" t="s">
        <v>4</v>
      </c>
      <c r="B39" s="149" t="s">
        <v>38</v>
      </c>
      <c r="C39" s="150"/>
      <c r="D39" s="79" t="s">
        <v>12</v>
      </c>
      <c r="E39" s="241" t="s">
        <v>13</v>
      </c>
      <c r="F39" s="242"/>
      <c r="G39" s="45"/>
    </row>
    <row r="40" spans="1:7" s="51" customFormat="1">
      <c r="A40" s="47" t="s">
        <v>50</v>
      </c>
      <c r="B40" s="48">
        <v>43</v>
      </c>
      <c r="C40" s="151" t="str">
        <f xml:space="preserve"> IF(B40="","",setValueToTime(B40))</f>
        <v>3h35min</v>
      </c>
      <c r="D40" s="165" t="s">
        <v>160</v>
      </c>
      <c r="E40" s="243"/>
      <c r="F40" s="244"/>
      <c r="G40" s="50"/>
    </row>
    <row r="41" spans="1:7" s="51" customFormat="1">
      <c r="A41" s="52" t="s">
        <v>15</v>
      </c>
      <c r="B41" s="53">
        <v>2</v>
      </c>
      <c r="C41" s="152" t="str">
        <f t="shared" ref="C41:C47" si="3" xml:space="preserve"> IF(B41="","",setValueToTime(B41))</f>
        <v>0h10min</v>
      </c>
      <c r="D41" s="166" t="s">
        <v>151</v>
      </c>
      <c r="E41" s="235"/>
      <c r="F41" s="236"/>
      <c r="G41" s="50"/>
    </row>
    <row r="42" spans="1:7" s="51" customFormat="1">
      <c r="A42" s="52"/>
      <c r="B42" s="53"/>
      <c r="C42" s="152" t="str">
        <f t="shared" si="3"/>
        <v/>
      </c>
      <c r="D42" s="54"/>
      <c r="E42" s="235"/>
      <c r="F42" s="236"/>
      <c r="G42" s="50"/>
    </row>
    <row r="43" spans="1:7" s="51" customFormat="1">
      <c r="A43" s="52"/>
      <c r="B43" s="53"/>
      <c r="C43" s="152" t="str">
        <f t="shared" si="3"/>
        <v/>
      </c>
      <c r="D43" s="54"/>
      <c r="E43" s="235"/>
      <c r="F43" s="236"/>
      <c r="G43" s="50"/>
    </row>
    <row r="44" spans="1:7" s="51" customFormat="1">
      <c r="A44" s="53"/>
      <c r="B44" s="53"/>
      <c r="C44" s="153" t="str">
        <f t="shared" si="3"/>
        <v/>
      </c>
      <c r="D44" s="54"/>
      <c r="E44" s="235"/>
      <c r="F44" s="236"/>
      <c r="G44" s="50"/>
    </row>
    <row r="45" spans="1:7" s="51" customFormat="1">
      <c r="A45" s="53"/>
      <c r="B45" s="53"/>
      <c r="C45" s="153" t="str">
        <f t="shared" si="3"/>
        <v/>
      </c>
      <c r="D45" s="54"/>
      <c r="E45" s="235"/>
      <c r="F45" s="236"/>
      <c r="G45" s="50"/>
    </row>
    <row r="46" spans="1:7" s="51" customFormat="1">
      <c r="A46" s="53"/>
      <c r="B46" s="53"/>
      <c r="C46" s="153" t="str">
        <f t="shared" si="3"/>
        <v/>
      </c>
      <c r="D46" s="54"/>
      <c r="E46" s="235"/>
      <c r="F46" s="236"/>
      <c r="G46" s="50"/>
    </row>
    <row r="47" spans="1:7" s="51" customFormat="1" ht="15" thickBot="1">
      <c r="A47" s="55"/>
      <c r="B47" s="55"/>
      <c r="C47" s="154" t="str">
        <f t="shared" si="3"/>
        <v/>
      </c>
      <c r="D47" s="56"/>
      <c r="E47" s="237"/>
      <c r="F47" s="238"/>
      <c r="G47" s="50"/>
    </row>
    <row r="48" spans="1:7" s="51" customFormat="1" ht="15" thickBot="1">
      <c r="A48" s="110" t="s">
        <v>27</v>
      </c>
      <c r="B48" s="83">
        <f>SUM(B40:B47)</f>
        <v>45</v>
      </c>
      <c r="C48" s="110" t="str">
        <f xml:space="preserve"> setValueToTime(B48)</f>
        <v>3h45min</v>
      </c>
      <c r="D48" s="119"/>
      <c r="E48" s="239"/>
      <c r="F48" s="240"/>
      <c r="G48" s="50"/>
    </row>
    <row r="49" spans="1:7" s="58" customFormat="1" ht="15" thickBot="1">
      <c r="A49" s="78"/>
      <c r="B49" s="78"/>
      <c r="C49" s="78"/>
      <c r="D49" s="78"/>
      <c r="E49" s="78"/>
      <c r="F49" s="78"/>
      <c r="G49" s="57"/>
    </row>
    <row r="50" spans="1:7" s="46" customFormat="1" ht="30" customHeight="1" thickBot="1">
      <c r="A50" s="80" t="s">
        <v>11</v>
      </c>
      <c r="B50" s="162">
        <v>16</v>
      </c>
      <c r="C50" s="162"/>
      <c r="D50" s="81" t="s">
        <v>14</v>
      </c>
      <c r="E50" s="93">
        <v>44237</v>
      </c>
      <c r="F50" s="125" t="s">
        <v>75</v>
      </c>
      <c r="G50" s="45"/>
    </row>
    <row r="51" spans="1:7" s="46" customFormat="1" ht="30" customHeight="1" thickBot="1">
      <c r="A51" s="79" t="s">
        <v>4</v>
      </c>
      <c r="B51" s="149" t="s">
        <v>38</v>
      </c>
      <c r="C51" s="150"/>
      <c r="D51" s="79" t="s">
        <v>12</v>
      </c>
      <c r="E51" s="241" t="s">
        <v>13</v>
      </c>
      <c r="F51" s="242"/>
      <c r="G51" s="45"/>
    </row>
    <row r="52" spans="1:7" s="51" customFormat="1">
      <c r="A52" s="47" t="s">
        <v>60</v>
      </c>
      <c r="B52" s="48">
        <v>33</v>
      </c>
      <c r="C52" s="151" t="str">
        <f xml:space="preserve"> IF(B52="","",setValueToTime(B52))</f>
        <v>2h45min</v>
      </c>
      <c r="D52" s="165" t="s">
        <v>144</v>
      </c>
      <c r="E52" s="243"/>
      <c r="F52" s="244"/>
      <c r="G52" s="50"/>
    </row>
    <row r="53" spans="1:7" s="51" customFormat="1">
      <c r="A53" s="52" t="s">
        <v>15</v>
      </c>
      <c r="B53" s="53">
        <v>3</v>
      </c>
      <c r="C53" s="152" t="str">
        <f t="shared" ref="C53:C59" si="4" xml:space="preserve"> IF(B53="","",setValueToTime(B53))</f>
        <v>0h15min</v>
      </c>
      <c r="D53" s="166" t="s">
        <v>145</v>
      </c>
      <c r="E53" s="235"/>
      <c r="F53" s="236"/>
      <c r="G53" s="50"/>
    </row>
    <row r="54" spans="1:7" s="51" customFormat="1">
      <c r="A54" s="52"/>
      <c r="B54" s="53"/>
      <c r="C54" s="152" t="str">
        <f t="shared" si="4"/>
        <v/>
      </c>
      <c r="D54" s="54"/>
      <c r="E54" s="235"/>
      <c r="F54" s="236"/>
      <c r="G54" s="50"/>
    </row>
    <row r="55" spans="1:7" s="51" customFormat="1">
      <c r="A55" s="52"/>
      <c r="B55" s="53"/>
      <c r="C55" s="152" t="str">
        <f t="shared" si="4"/>
        <v/>
      </c>
      <c r="D55" s="54"/>
      <c r="E55" s="235"/>
      <c r="F55" s="236"/>
      <c r="G55" s="50"/>
    </row>
    <row r="56" spans="1:7" s="51" customFormat="1">
      <c r="A56" s="53"/>
      <c r="B56" s="53"/>
      <c r="C56" s="153" t="str">
        <f t="shared" si="4"/>
        <v/>
      </c>
      <c r="D56" s="54"/>
      <c r="E56" s="235"/>
      <c r="F56" s="236"/>
      <c r="G56" s="50"/>
    </row>
    <row r="57" spans="1:7" s="51" customFormat="1">
      <c r="A57" s="53"/>
      <c r="B57" s="53"/>
      <c r="C57" s="153" t="str">
        <f t="shared" si="4"/>
        <v/>
      </c>
      <c r="D57" s="54"/>
      <c r="E57" s="235"/>
      <c r="F57" s="236"/>
      <c r="G57" s="50"/>
    </row>
    <row r="58" spans="1:7" s="51" customFormat="1">
      <c r="A58" s="53"/>
      <c r="B58" s="53"/>
      <c r="C58" s="153" t="str">
        <f t="shared" si="4"/>
        <v/>
      </c>
      <c r="D58" s="54"/>
      <c r="E58" s="235"/>
      <c r="F58" s="236"/>
      <c r="G58" s="50"/>
    </row>
    <row r="59" spans="1:7" s="51" customFormat="1" ht="15" thickBot="1">
      <c r="A59" s="55"/>
      <c r="B59" s="55"/>
      <c r="C59" s="154" t="str">
        <f t="shared" si="4"/>
        <v/>
      </c>
      <c r="D59" s="56"/>
      <c r="E59" s="237"/>
      <c r="F59" s="238"/>
      <c r="G59" s="50"/>
    </row>
    <row r="60" spans="1:7" s="51" customFormat="1" ht="15" thickBot="1">
      <c r="A60" s="110" t="s">
        <v>27</v>
      </c>
      <c r="B60" s="83">
        <f>SUM(B52:B59)</f>
        <v>36</v>
      </c>
      <c r="C60" s="110" t="str">
        <f xml:space="preserve"> setValueToTime(B60)</f>
        <v>3h</v>
      </c>
      <c r="D60" s="119"/>
      <c r="E60" s="239"/>
      <c r="F60" s="240"/>
      <c r="G60" s="50"/>
    </row>
    <row r="61" spans="1:7" s="58" customFormat="1" ht="15" thickBot="1">
      <c r="A61" s="78"/>
      <c r="B61" s="78"/>
      <c r="C61" s="78"/>
      <c r="D61" s="78"/>
      <c r="E61" s="78"/>
      <c r="F61" s="78"/>
      <c r="G61" s="57"/>
    </row>
    <row r="62" spans="1:7" s="46" customFormat="1" ht="30" customHeight="1" thickBot="1">
      <c r="A62" s="80" t="s">
        <v>11</v>
      </c>
      <c r="B62" s="162">
        <v>15</v>
      </c>
      <c r="C62" s="162"/>
      <c r="D62" s="81" t="s">
        <v>14</v>
      </c>
      <c r="E62" s="93">
        <v>44237</v>
      </c>
      <c r="F62" s="125" t="s">
        <v>74</v>
      </c>
      <c r="G62" s="45"/>
    </row>
    <row r="63" spans="1:7" s="46" customFormat="1" ht="30" customHeight="1" thickBot="1">
      <c r="A63" s="79" t="s">
        <v>4</v>
      </c>
      <c r="B63" s="149" t="s">
        <v>38</v>
      </c>
      <c r="C63" s="150"/>
      <c r="D63" s="79" t="s">
        <v>12</v>
      </c>
      <c r="E63" s="241" t="s">
        <v>13</v>
      </c>
      <c r="F63" s="242"/>
      <c r="G63" s="45"/>
    </row>
    <row r="64" spans="1:7" s="51" customFormat="1">
      <c r="A64" s="47" t="s">
        <v>60</v>
      </c>
      <c r="B64" s="48">
        <v>45</v>
      </c>
      <c r="C64" s="151" t="str">
        <f xml:space="preserve"> IF(B64="","",setValueToTime(B64))</f>
        <v>3h45min</v>
      </c>
      <c r="D64" s="165" t="s">
        <v>143</v>
      </c>
      <c r="E64" s="243"/>
      <c r="F64" s="244"/>
      <c r="G64" s="50"/>
    </row>
    <row r="65" spans="1:7" s="51" customFormat="1">
      <c r="A65" s="52"/>
      <c r="B65" s="53"/>
      <c r="C65" s="152" t="str">
        <f t="shared" ref="C65:C71" si="5" xml:space="preserve"> IF(B65="","",setValueToTime(B65))</f>
        <v/>
      </c>
      <c r="D65" s="54"/>
      <c r="E65" s="235"/>
      <c r="F65" s="236"/>
      <c r="G65" s="50"/>
    </row>
    <row r="66" spans="1:7" s="51" customFormat="1">
      <c r="A66" s="52"/>
      <c r="B66" s="53"/>
      <c r="C66" s="152" t="str">
        <f t="shared" si="5"/>
        <v/>
      </c>
      <c r="D66" s="54"/>
      <c r="E66" s="235"/>
      <c r="F66" s="236"/>
      <c r="G66" s="50"/>
    </row>
    <row r="67" spans="1:7" s="51" customFormat="1">
      <c r="A67" s="52"/>
      <c r="B67" s="53"/>
      <c r="C67" s="152" t="str">
        <f t="shared" si="5"/>
        <v/>
      </c>
      <c r="D67" s="54"/>
      <c r="E67" s="235"/>
      <c r="F67" s="236"/>
      <c r="G67" s="50"/>
    </row>
    <row r="68" spans="1:7" s="51" customFormat="1">
      <c r="A68" s="53"/>
      <c r="B68" s="53"/>
      <c r="C68" s="153" t="str">
        <f t="shared" si="5"/>
        <v/>
      </c>
      <c r="D68" s="54"/>
      <c r="E68" s="235"/>
      <c r="F68" s="236"/>
      <c r="G68" s="50"/>
    </row>
    <row r="69" spans="1:7" s="51" customFormat="1">
      <c r="A69" s="53"/>
      <c r="B69" s="53"/>
      <c r="C69" s="153" t="str">
        <f t="shared" si="5"/>
        <v/>
      </c>
      <c r="D69" s="54"/>
      <c r="E69" s="235"/>
      <c r="F69" s="236"/>
      <c r="G69" s="50"/>
    </row>
    <row r="70" spans="1:7" s="51" customFormat="1">
      <c r="A70" s="53"/>
      <c r="B70" s="53"/>
      <c r="C70" s="153" t="str">
        <f t="shared" si="5"/>
        <v/>
      </c>
      <c r="D70" s="54"/>
      <c r="E70" s="235"/>
      <c r="F70" s="236"/>
      <c r="G70" s="50"/>
    </row>
    <row r="71" spans="1:7" s="51" customFormat="1" ht="15" thickBot="1">
      <c r="A71" s="55"/>
      <c r="B71" s="55"/>
      <c r="C71" s="154" t="str">
        <f t="shared" si="5"/>
        <v/>
      </c>
      <c r="D71" s="56"/>
      <c r="E71" s="237"/>
      <c r="F71" s="238"/>
      <c r="G71" s="50"/>
    </row>
    <row r="72" spans="1:7" s="51" customFormat="1" ht="15" thickBot="1">
      <c r="A72" s="110" t="s">
        <v>27</v>
      </c>
      <c r="B72" s="83">
        <f>SUM(B64:B71)</f>
        <v>45</v>
      </c>
      <c r="C72" s="110" t="str">
        <f xml:space="preserve"> setValueToTime(B72)</f>
        <v>3h45min</v>
      </c>
      <c r="D72" s="119"/>
      <c r="E72" s="239"/>
      <c r="F72" s="240"/>
      <c r="G72" s="50"/>
    </row>
    <row r="73" spans="1:7" s="58" customFormat="1" ht="15" thickBot="1">
      <c r="A73" s="78"/>
      <c r="B73" s="78"/>
      <c r="C73" s="78"/>
      <c r="D73" s="78"/>
      <c r="E73" s="78"/>
      <c r="F73" s="78"/>
      <c r="G73" s="57"/>
    </row>
    <row r="74" spans="1:7" s="46" customFormat="1" ht="30" customHeight="1" thickBot="1">
      <c r="A74" s="80" t="s">
        <v>11</v>
      </c>
      <c r="B74" s="162">
        <v>14</v>
      </c>
      <c r="C74" s="162"/>
      <c r="D74" s="81" t="s">
        <v>14</v>
      </c>
      <c r="E74" s="93">
        <v>44235</v>
      </c>
      <c r="F74" s="125" t="s">
        <v>74</v>
      </c>
      <c r="G74" s="45"/>
    </row>
    <row r="75" spans="1:7" s="46" customFormat="1" ht="30" customHeight="1" thickBot="1">
      <c r="A75" s="79" t="s">
        <v>4</v>
      </c>
      <c r="B75" s="149" t="s">
        <v>38</v>
      </c>
      <c r="C75" s="150"/>
      <c r="D75" s="79" t="s">
        <v>12</v>
      </c>
      <c r="E75" s="241" t="s">
        <v>13</v>
      </c>
      <c r="F75" s="242"/>
      <c r="G75" s="45"/>
    </row>
    <row r="76" spans="1:7" s="51" customFormat="1">
      <c r="A76" s="47" t="s">
        <v>51</v>
      </c>
      <c r="B76" s="48">
        <v>36</v>
      </c>
      <c r="C76" s="151" t="str">
        <f xml:space="preserve"> IF(B76="","",setValueToTime(B76))</f>
        <v>3h</v>
      </c>
      <c r="D76" s="165" t="s">
        <v>142</v>
      </c>
      <c r="E76" s="243"/>
      <c r="F76" s="244"/>
      <c r="G76" s="50"/>
    </row>
    <row r="77" spans="1:7" s="51" customFormat="1">
      <c r="A77" s="52"/>
      <c r="B77" s="53"/>
      <c r="C77" s="152" t="str">
        <f t="shared" ref="C77:C83" si="6" xml:space="preserve"> IF(B77="","",setValueToTime(B77))</f>
        <v/>
      </c>
      <c r="D77" s="54"/>
      <c r="E77" s="235"/>
      <c r="F77" s="236"/>
      <c r="G77" s="50"/>
    </row>
    <row r="78" spans="1:7" s="51" customFormat="1">
      <c r="A78" s="52"/>
      <c r="B78" s="53"/>
      <c r="C78" s="152" t="str">
        <f t="shared" si="6"/>
        <v/>
      </c>
      <c r="D78" s="54"/>
      <c r="E78" s="235"/>
      <c r="F78" s="236"/>
      <c r="G78" s="50"/>
    </row>
    <row r="79" spans="1:7" s="51" customFormat="1">
      <c r="A79" s="52"/>
      <c r="B79" s="53"/>
      <c r="C79" s="152" t="str">
        <f t="shared" si="6"/>
        <v/>
      </c>
      <c r="D79" s="54"/>
      <c r="E79" s="235"/>
      <c r="F79" s="236"/>
      <c r="G79" s="50"/>
    </row>
    <row r="80" spans="1:7" s="51" customFormat="1">
      <c r="A80" s="53"/>
      <c r="B80" s="53"/>
      <c r="C80" s="153" t="str">
        <f t="shared" si="6"/>
        <v/>
      </c>
      <c r="D80" s="54"/>
      <c r="E80" s="235"/>
      <c r="F80" s="236"/>
      <c r="G80" s="50"/>
    </row>
    <row r="81" spans="1:7" s="51" customFormat="1">
      <c r="A81" s="53"/>
      <c r="B81" s="53"/>
      <c r="C81" s="153" t="str">
        <f t="shared" si="6"/>
        <v/>
      </c>
      <c r="D81" s="54"/>
      <c r="E81" s="235"/>
      <c r="F81" s="236"/>
      <c r="G81" s="50"/>
    </row>
    <row r="82" spans="1:7" s="51" customFormat="1">
      <c r="A82" s="53"/>
      <c r="B82" s="53"/>
      <c r="C82" s="153" t="str">
        <f t="shared" si="6"/>
        <v/>
      </c>
      <c r="D82" s="54"/>
      <c r="E82" s="235"/>
      <c r="F82" s="236"/>
      <c r="G82" s="50"/>
    </row>
    <row r="83" spans="1:7" s="51" customFormat="1" ht="15" thickBot="1">
      <c r="A83" s="55"/>
      <c r="B83" s="55"/>
      <c r="C83" s="154" t="str">
        <f t="shared" si="6"/>
        <v/>
      </c>
      <c r="D83" s="56"/>
      <c r="E83" s="237"/>
      <c r="F83" s="238"/>
      <c r="G83" s="50"/>
    </row>
    <row r="84" spans="1:7" s="51" customFormat="1" ht="15" thickBot="1">
      <c r="A84" s="110" t="s">
        <v>27</v>
      </c>
      <c r="B84" s="83">
        <f>SUM(B76:B83)</f>
        <v>36</v>
      </c>
      <c r="C84" s="110" t="str">
        <f xml:space="preserve"> setValueToTime(B84)</f>
        <v>3h</v>
      </c>
      <c r="D84" s="119"/>
      <c r="E84" s="239"/>
      <c r="F84" s="240"/>
      <c r="G84" s="50"/>
    </row>
    <row r="85" spans="1:7" s="58" customFormat="1" ht="15" thickBot="1">
      <c r="A85" s="78"/>
      <c r="B85" s="78"/>
      <c r="C85" s="78"/>
      <c r="D85" s="78"/>
      <c r="E85" s="78"/>
      <c r="F85" s="78"/>
      <c r="G85" s="57"/>
    </row>
    <row r="86" spans="1:7" s="46" customFormat="1" ht="30" customHeight="1" thickBot="1">
      <c r="A86" s="80" t="s">
        <v>11</v>
      </c>
      <c r="B86" s="162">
        <v>13</v>
      </c>
      <c r="C86" s="162"/>
      <c r="D86" s="81" t="s">
        <v>14</v>
      </c>
      <c r="E86" s="93">
        <v>44232</v>
      </c>
      <c r="F86" s="125" t="s">
        <v>75</v>
      </c>
      <c r="G86" s="45"/>
    </row>
    <row r="87" spans="1:7" s="46" customFormat="1" ht="30" customHeight="1" thickBot="1">
      <c r="A87" s="79" t="s">
        <v>4</v>
      </c>
      <c r="B87" s="149" t="s">
        <v>38</v>
      </c>
      <c r="C87" s="150"/>
      <c r="D87" s="79" t="s">
        <v>12</v>
      </c>
      <c r="E87" s="241" t="s">
        <v>13</v>
      </c>
      <c r="F87" s="242"/>
      <c r="G87" s="45"/>
    </row>
    <row r="88" spans="1:7" s="51" customFormat="1" ht="27">
      <c r="A88" s="47" t="s">
        <v>117</v>
      </c>
      <c r="B88" s="48">
        <v>33</v>
      </c>
      <c r="C88" s="151" t="str">
        <f xml:space="preserve"> IF(B88="","",setValueToTime(B88))</f>
        <v>2h45min</v>
      </c>
      <c r="D88" s="165" t="s">
        <v>124</v>
      </c>
      <c r="E88" s="243"/>
      <c r="F88" s="244"/>
      <c r="G88" s="50"/>
    </row>
    <row r="89" spans="1:7" s="51" customFormat="1">
      <c r="A89" s="52" t="s">
        <v>15</v>
      </c>
      <c r="B89" s="53">
        <v>3</v>
      </c>
      <c r="C89" s="152" t="str">
        <f t="shared" ref="C89:C95" si="7" xml:space="preserve"> IF(B89="","",setValueToTime(B89))</f>
        <v>0h15min</v>
      </c>
      <c r="D89" s="166" t="s">
        <v>114</v>
      </c>
      <c r="E89" s="235"/>
      <c r="F89" s="236"/>
      <c r="G89" s="50"/>
    </row>
    <row r="90" spans="1:7" s="51" customFormat="1">
      <c r="A90" s="52"/>
      <c r="B90" s="53"/>
      <c r="C90" s="152" t="str">
        <f t="shared" si="7"/>
        <v/>
      </c>
      <c r="D90" s="54"/>
      <c r="E90" s="235"/>
      <c r="F90" s="236"/>
      <c r="G90" s="50"/>
    </row>
    <row r="91" spans="1:7" s="51" customFormat="1">
      <c r="A91" s="52"/>
      <c r="B91" s="53"/>
      <c r="C91" s="152" t="str">
        <f t="shared" si="7"/>
        <v/>
      </c>
      <c r="D91" s="54"/>
      <c r="E91" s="235"/>
      <c r="F91" s="236"/>
      <c r="G91" s="50"/>
    </row>
    <row r="92" spans="1:7" s="51" customFormat="1">
      <c r="A92" s="53"/>
      <c r="B92" s="53"/>
      <c r="C92" s="153" t="str">
        <f t="shared" si="7"/>
        <v/>
      </c>
      <c r="D92" s="54"/>
      <c r="E92" s="235"/>
      <c r="F92" s="236"/>
      <c r="G92" s="50"/>
    </row>
    <row r="93" spans="1:7" s="51" customFormat="1">
      <c r="A93" s="53"/>
      <c r="B93" s="53"/>
      <c r="C93" s="153" t="str">
        <f t="shared" si="7"/>
        <v/>
      </c>
      <c r="D93" s="54"/>
      <c r="E93" s="235"/>
      <c r="F93" s="236"/>
      <c r="G93" s="50"/>
    </row>
    <row r="94" spans="1:7" s="51" customFormat="1">
      <c r="A94" s="53"/>
      <c r="B94" s="53"/>
      <c r="C94" s="153" t="str">
        <f t="shared" si="7"/>
        <v/>
      </c>
      <c r="D94" s="54"/>
      <c r="E94" s="235"/>
      <c r="F94" s="236"/>
      <c r="G94" s="50"/>
    </row>
    <row r="95" spans="1:7" s="51" customFormat="1" ht="15" thickBot="1">
      <c r="A95" s="55"/>
      <c r="B95" s="55"/>
      <c r="C95" s="154" t="str">
        <f t="shared" si="7"/>
        <v/>
      </c>
      <c r="D95" s="56"/>
      <c r="E95" s="237"/>
      <c r="F95" s="238"/>
      <c r="G95" s="50"/>
    </row>
    <row r="96" spans="1:7" s="51" customFormat="1" ht="15" thickBot="1">
      <c r="A96" s="110" t="s">
        <v>27</v>
      </c>
      <c r="B96" s="83">
        <f>SUM(B88:B95)</f>
        <v>36</v>
      </c>
      <c r="C96" s="110" t="str">
        <f xml:space="preserve"> setValueToTime(B96)</f>
        <v>3h</v>
      </c>
      <c r="D96" s="119"/>
      <c r="E96" s="239"/>
      <c r="F96" s="240"/>
      <c r="G96" s="50"/>
    </row>
    <row r="97" spans="1:7" s="58" customFormat="1" ht="15" thickBot="1">
      <c r="A97" s="78"/>
      <c r="B97" s="78"/>
      <c r="C97" s="78"/>
      <c r="D97" s="78"/>
      <c r="E97" s="78"/>
      <c r="F97" s="78"/>
      <c r="G97" s="57"/>
    </row>
    <row r="98" spans="1:7" s="46" customFormat="1" ht="30" customHeight="1" thickBot="1">
      <c r="A98" s="80" t="s">
        <v>11</v>
      </c>
      <c r="B98" s="162">
        <v>12</v>
      </c>
      <c r="C98" s="162"/>
      <c r="D98" s="81" t="s">
        <v>14</v>
      </c>
      <c r="E98" s="93">
        <v>44232</v>
      </c>
      <c r="F98" s="125" t="s">
        <v>74</v>
      </c>
      <c r="G98" s="45"/>
    </row>
    <row r="99" spans="1:7" s="46" customFormat="1" ht="30" customHeight="1" thickBot="1">
      <c r="A99" s="79" t="s">
        <v>4</v>
      </c>
      <c r="B99" s="149" t="s">
        <v>38</v>
      </c>
      <c r="C99" s="150"/>
      <c r="D99" s="79" t="s">
        <v>12</v>
      </c>
      <c r="E99" s="241" t="s">
        <v>13</v>
      </c>
      <c r="F99" s="242"/>
      <c r="G99" s="45"/>
    </row>
    <row r="100" spans="1:7" s="51" customFormat="1" ht="27">
      <c r="A100" s="47" t="s">
        <v>62</v>
      </c>
      <c r="B100" s="48">
        <v>36</v>
      </c>
      <c r="C100" s="151" t="str">
        <f xml:space="preserve"> IF(B100="","",setValueToTime(B100))</f>
        <v>3h</v>
      </c>
      <c r="D100" s="165" t="s">
        <v>123</v>
      </c>
      <c r="E100" s="243"/>
      <c r="F100" s="244"/>
      <c r="G100" s="50"/>
    </row>
    <row r="101" spans="1:7" s="51" customFormat="1">
      <c r="A101" s="52"/>
      <c r="B101" s="53"/>
      <c r="C101" s="152" t="str">
        <f t="shared" ref="C101:C107" si="8" xml:space="preserve"> IF(B101="","",setValueToTime(B101))</f>
        <v/>
      </c>
      <c r="D101" s="54"/>
      <c r="E101" s="235"/>
      <c r="F101" s="236"/>
      <c r="G101" s="50"/>
    </row>
    <row r="102" spans="1:7" s="51" customFormat="1">
      <c r="A102" s="52"/>
      <c r="B102" s="53"/>
      <c r="C102" s="152" t="str">
        <f t="shared" si="8"/>
        <v/>
      </c>
      <c r="D102" s="54"/>
      <c r="E102" s="235"/>
      <c r="F102" s="236"/>
      <c r="G102" s="50"/>
    </row>
    <row r="103" spans="1:7" s="51" customFormat="1">
      <c r="A103" s="52"/>
      <c r="B103" s="53"/>
      <c r="C103" s="152" t="str">
        <f t="shared" si="8"/>
        <v/>
      </c>
      <c r="D103" s="54"/>
      <c r="E103" s="235"/>
      <c r="F103" s="236"/>
      <c r="G103" s="50"/>
    </row>
    <row r="104" spans="1:7" s="51" customFormat="1">
      <c r="A104" s="53"/>
      <c r="B104" s="53"/>
      <c r="C104" s="153" t="str">
        <f t="shared" si="8"/>
        <v/>
      </c>
      <c r="D104" s="54"/>
      <c r="E104" s="235"/>
      <c r="F104" s="236"/>
      <c r="G104" s="50"/>
    </row>
    <row r="105" spans="1:7" s="51" customFormat="1">
      <c r="A105" s="53"/>
      <c r="B105" s="53"/>
      <c r="C105" s="153" t="str">
        <f t="shared" si="8"/>
        <v/>
      </c>
      <c r="D105" s="54"/>
      <c r="E105" s="235"/>
      <c r="F105" s="236"/>
      <c r="G105" s="50"/>
    </row>
    <row r="106" spans="1:7" s="51" customFormat="1">
      <c r="A106" s="53"/>
      <c r="B106" s="53"/>
      <c r="C106" s="153" t="str">
        <f t="shared" si="8"/>
        <v/>
      </c>
      <c r="D106" s="54"/>
      <c r="E106" s="235"/>
      <c r="F106" s="236"/>
      <c r="G106" s="50"/>
    </row>
    <row r="107" spans="1:7" s="51" customFormat="1" ht="15" thickBot="1">
      <c r="A107" s="55"/>
      <c r="B107" s="55"/>
      <c r="C107" s="154" t="str">
        <f t="shared" si="8"/>
        <v/>
      </c>
      <c r="D107" s="56"/>
      <c r="E107" s="237"/>
      <c r="F107" s="238"/>
      <c r="G107" s="50"/>
    </row>
    <row r="108" spans="1:7" s="51" customFormat="1" ht="15" thickBot="1">
      <c r="A108" s="110" t="s">
        <v>27</v>
      </c>
      <c r="B108" s="83">
        <f>SUM(B100:B107)</f>
        <v>36</v>
      </c>
      <c r="C108" s="110" t="str">
        <f xml:space="preserve"> setValueToTime(B108)</f>
        <v>3h</v>
      </c>
      <c r="D108" s="119"/>
      <c r="E108" s="239"/>
      <c r="F108" s="240"/>
      <c r="G108" s="50"/>
    </row>
    <row r="109" spans="1:7" s="58" customFormat="1" ht="15" thickBot="1">
      <c r="A109" s="78"/>
      <c r="B109" s="78"/>
      <c r="C109" s="78"/>
      <c r="D109" s="78"/>
      <c r="E109" s="78"/>
      <c r="F109" s="78"/>
      <c r="G109" s="57"/>
    </row>
    <row r="110" spans="1:7" s="46" customFormat="1" ht="30" customHeight="1" thickBot="1">
      <c r="A110" s="80" t="s">
        <v>11</v>
      </c>
      <c r="B110" s="162">
        <v>11</v>
      </c>
      <c r="C110" s="162"/>
      <c r="D110" s="81" t="s">
        <v>14</v>
      </c>
      <c r="E110" s="93">
        <v>44231</v>
      </c>
      <c r="F110" s="125" t="s">
        <v>75</v>
      </c>
      <c r="G110" s="45"/>
    </row>
    <row r="111" spans="1:7" s="46" customFormat="1" ht="30" customHeight="1" thickBot="1">
      <c r="A111" s="79" t="s">
        <v>4</v>
      </c>
      <c r="B111" s="149" t="s">
        <v>38</v>
      </c>
      <c r="C111" s="150"/>
      <c r="D111" s="79" t="s">
        <v>12</v>
      </c>
      <c r="E111" s="241" t="s">
        <v>13</v>
      </c>
      <c r="F111" s="242"/>
      <c r="G111" s="45"/>
    </row>
    <row r="112" spans="1:7" s="51" customFormat="1">
      <c r="A112" s="47" t="s">
        <v>59</v>
      </c>
      <c r="B112" s="48">
        <v>18</v>
      </c>
      <c r="C112" s="151" t="str">
        <f xml:space="preserve"> IF(B112="","",setValueToTime(B112))</f>
        <v>1h30min</v>
      </c>
      <c r="D112" s="165" t="s">
        <v>120</v>
      </c>
      <c r="E112" s="243"/>
      <c r="F112" s="244"/>
      <c r="G112" s="50"/>
    </row>
    <row r="113" spans="1:7" s="51" customFormat="1" ht="27">
      <c r="A113" s="52" t="s">
        <v>62</v>
      </c>
      <c r="B113" s="53">
        <v>15</v>
      </c>
      <c r="C113" s="152" t="str">
        <f t="shared" ref="C113:C119" si="9" xml:space="preserve"> IF(B113="","",setValueToTime(B113))</f>
        <v>1h15min</v>
      </c>
      <c r="D113" s="166" t="s">
        <v>122</v>
      </c>
      <c r="E113" s="235"/>
      <c r="F113" s="236"/>
      <c r="G113" s="50"/>
    </row>
    <row r="114" spans="1:7" s="51" customFormat="1">
      <c r="A114" s="52" t="s">
        <v>15</v>
      </c>
      <c r="B114" s="53">
        <v>3</v>
      </c>
      <c r="C114" s="152" t="str">
        <f t="shared" si="9"/>
        <v>0h15min</v>
      </c>
      <c r="D114" s="166" t="s">
        <v>106</v>
      </c>
      <c r="E114" s="235"/>
      <c r="F114" s="236"/>
      <c r="G114" s="50"/>
    </row>
    <row r="115" spans="1:7" s="51" customFormat="1">
      <c r="A115" s="52"/>
      <c r="B115" s="53"/>
      <c r="C115" s="152" t="str">
        <f t="shared" si="9"/>
        <v/>
      </c>
      <c r="D115" s="54"/>
      <c r="E115" s="235"/>
      <c r="F115" s="236"/>
      <c r="G115" s="50"/>
    </row>
    <row r="116" spans="1:7" s="51" customFormat="1">
      <c r="A116" s="53"/>
      <c r="B116" s="53"/>
      <c r="C116" s="153" t="str">
        <f t="shared" si="9"/>
        <v/>
      </c>
      <c r="D116" s="54"/>
      <c r="E116" s="235"/>
      <c r="F116" s="236"/>
      <c r="G116" s="50"/>
    </row>
    <row r="117" spans="1:7" s="51" customFormat="1">
      <c r="A117" s="53"/>
      <c r="B117" s="53"/>
      <c r="C117" s="153" t="str">
        <f t="shared" si="9"/>
        <v/>
      </c>
      <c r="D117" s="54"/>
      <c r="E117" s="235"/>
      <c r="F117" s="236"/>
      <c r="G117" s="50"/>
    </row>
    <row r="118" spans="1:7" s="51" customFormat="1">
      <c r="A118" s="53"/>
      <c r="B118" s="53"/>
      <c r="C118" s="153" t="str">
        <f t="shared" si="9"/>
        <v/>
      </c>
      <c r="D118" s="54"/>
      <c r="E118" s="235"/>
      <c r="F118" s="236"/>
      <c r="G118" s="50"/>
    </row>
    <row r="119" spans="1:7" s="51" customFormat="1" ht="15" thickBot="1">
      <c r="A119" s="55"/>
      <c r="B119" s="55"/>
      <c r="C119" s="154" t="str">
        <f t="shared" si="9"/>
        <v/>
      </c>
      <c r="D119" s="56"/>
      <c r="E119" s="237"/>
      <c r="F119" s="238"/>
      <c r="G119" s="50"/>
    </row>
    <row r="120" spans="1:7" s="51" customFormat="1" ht="15" thickBot="1">
      <c r="A120" s="110" t="s">
        <v>27</v>
      </c>
      <c r="B120" s="83">
        <f>SUM(B112:B119)</f>
        <v>36</v>
      </c>
      <c r="C120" s="110" t="str">
        <f xml:space="preserve"> setValueToTime(B120)</f>
        <v>3h</v>
      </c>
      <c r="D120" s="119"/>
      <c r="E120" s="239"/>
      <c r="F120" s="240"/>
      <c r="G120" s="50"/>
    </row>
    <row r="121" spans="1:7" s="58" customFormat="1" ht="15" thickBot="1">
      <c r="A121" s="78"/>
      <c r="B121" s="78"/>
      <c r="C121" s="78"/>
      <c r="D121" s="78"/>
      <c r="E121" s="78"/>
      <c r="F121" s="78"/>
      <c r="G121" s="57"/>
    </row>
    <row r="122" spans="1:7" s="46" customFormat="1" ht="30" customHeight="1" thickBot="1">
      <c r="A122" s="80" t="s">
        <v>11</v>
      </c>
      <c r="B122" s="162">
        <v>10</v>
      </c>
      <c r="C122" s="162"/>
      <c r="D122" s="81" t="s">
        <v>14</v>
      </c>
      <c r="E122" s="93">
        <v>44231</v>
      </c>
      <c r="F122" s="125" t="s">
        <v>74</v>
      </c>
      <c r="G122" s="45"/>
    </row>
    <row r="123" spans="1:7" s="46" customFormat="1" ht="30" customHeight="1" thickBot="1">
      <c r="A123" s="79" t="s">
        <v>4</v>
      </c>
      <c r="B123" s="149" t="s">
        <v>38</v>
      </c>
      <c r="C123" s="150"/>
      <c r="D123" s="79" t="s">
        <v>12</v>
      </c>
      <c r="E123" s="241" t="s">
        <v>13</v>
      </c>
      <c r="F123" s="242"/>
      <c r="G123" s="45"/>
    </row>
    <row r="124" spans="1:7" s="51" customFormat="1">
      <c r="A124" s="47" t="s">
        <v>59</v>
      </c>
      <c r="B124" s="48">
        <v>45</v>
      </c>
      <c r="C124" s="151" t="str">
        <f xml:space="preserve"> IF(B124="","",setValueToTime(B124))</f>
        <v>3h45min</v>
      </c>
      <c r="D124" s="165" t="s">
        <v>121</v>
      </c>
      <c r="E124" s="243"/>
      <c r="F124" s="244"/>
      <c r="G124" s="50"/>
    </row>
    <row r="125" spans="1:7" s="51" customFormat="1">
      <c r="A125" s="52"/>
      <c r="B125" s="53"/>
      <c r="C125" s="152" t="str">
        <f t="shared" ref="C125:C131" si="10" xml:space="preserve"> IF(B125="","",setValueToTime(B125))</f>
        <v/>
      </c>
      <c r="D125" s="54"/>
      <c r="E125" s="235"/>
      <c r="F125" s="236"/>
      <c r="G125" s="50"/>
    </row>
    <row r="126" spans="1:7" s="51" customFormat="1">
      <c r="A126" s="52"/>
      <c r="B126" s="53"/>
      <c r="C126" s="152" t="str">
        <f t="shared" si="10"/>
        <v/>
      </c>
      <c r="D126" s="54"/>
      <c r="E126" s="235"/>
      <c r="F126" s="236"/>
      <c r="G126" s="50"/>
    </row>
    <row r="127" spans="1:7" s="51" customFormat="1">
      <c r="A127" s="52"/>
      <c r="B127" s="53"/>
      <c r="C127" s="152" t="str">
        <f t="shared" si="10"/>
        <v/>
      </c>
      <c r="D127" s="54"/>
      <c r="E127" s="235"/>
      <c r="F127" s="236"/>
      <c r="G127" s="50"/>
    </row>
    <row r="128" spans="1:7" s="51" customFormat="1">
      <c r="A128" s="53"/>
      <c r="B128" s="53"/>
      <c r="C128" s="153" t="str">
        <f t="shared" si="10"/>
        <v/>
      </c>
      <c r="D128" s="54"/>
      <c r="E128" s="235"/>
      <c r="F128" s="236"/>
      <c r="G128" s="50"/>
    </row>
    <row r="129" spans="1:7" s="51" customFormat="1">
      <c r="A129" s="53"/>
      <c r="B129" s="53"/>
      <c r="C129" s="153" t="str">
        <f t="shared" si="10"/>
        <v/>
      </c>
      <c r="D129" s="54"/>
      <c r="E129" s="235"/>
      <c r="F129" s="236"/>
      <c r="G129" s="50"/>
    </row>
    <row r="130" spans="1:7" s="51" customFormat="1">
      <c r="A130" s="53"/>
      <c r="B130" s="53"/>
      <c r="C130" s="153" t="str">
        <f t="shared" si="10"/>
        <v/>
      </c>
      <c r="D130" s="54"/>
      <c r="E130" s="235"/>
      <c r="F130" s="236"/>
      <c r="G130" s="50"/>
    </row>
    <row r="131" spans="1:7" s="51" customFormat="1" ht="15" thickBot="1">
      <c r="A131" s="55"/>
      <c r="B131" s="55"/>
      <c r="C131" s="154" t="str">
        <f t="shared" si="10"/>
        <v/>
      </c>
      <c r="D131" s="56"/>
      <c r="E131" s="237"/>
      <c r="F131" s="238"/>
      <c r="G131" s="50"/>
    </row>
    <row r="132" spans="1:7" s="51" customFormat="1" ht="15" thickBot="1">
      <c r="A132" s="110" t="s">
        <v>27</v>
      </c>
      <c r="B132" s="83">
        <f>SUM(B124:B131)</f>
        <v>45</v>
      </c>
      <c r="C132" s="110" t="str">
        <f xml:space="preserve"> setValueToTime(B132)</f>
        <v>3h45min</v>
      </c>
      <c r="D132" s="119"/>
      <c r="E132" s="239"/>
      <c r="F132" s="240"/>
      <c r="G132" s="50"/>
    </row>
    <row r="133" spans="1:7" s="58" customFormat="1" ht="15" thickBot="1">
      <c r="A133" s="78"/>
      <c r="B133" s="78"/>
      <c r="C133" s="78"/>
      <c r="D133" s="78"/>
      <c r="E133" s="78"/>
      <c r="F133" s="78"/>
      <c r="G133" s="57"/>
    </row>
    <row r="134" spans="1:7" s="46" customFormat="1" ht="30" customHeight="1" thickBot="1">
      <c r="A134" s="80" t="s">
        <v>11</v>
      </c>
      <c r="B134" s="162">
        <v>9</v>
      </c>
      <c r="C134" s="162"/>
      <c r="D134" s="81" t="s">
        <v>14</v>
      </c>
      <c r="E134" s="93">
        <v>44230</v>
      </c>
      <c r="F134" s="125" t="s">
        <v>75</v>
      </c>
      <c r="G134" s="45"/>
    </row>
    <row r="135" spans="1:7" s="46" customFormat="1" ht="30" customHeight="1" thickBot="1">
      <c r="A135" s="79" t="s">
        <v>4</v>
      </c>
      <c r="B135" s="149" t="s">
        <v>38</v>
      </c>
      <c r="C135" s="150"/>
      <c r="D135" s="79" t="s">
        <v>12</v>
      </c>
      <c r="E135" s="241" t="s">
        <v>13</v>
      </c>
      <c r="F135" s="242"/>
      <c r="G135" s="45"/>
    </row>
    <row r="136" spans="1:7" s="51" customFormat="1">
      <c r="A136" s="47" t="s">
        <v>60</v>
      </c>
      <c r="B136" s="48">
        <v>18</v>
      </c>
      <c r="C136" s="151" t="str">
        <f xml:space="preserve"> IF(B136="","",setValueToTime(B136))</f>
        <v>1h30min</v>
      </c>
      <c r="D136" s="165" t="s">
        <v>116</v>
      </c>
      <c r="E136" s="243"/>
      <c r="F136" s="244"/>
      <c r="G136" s="50"/>
    </row>
    <row r="137" spans="1:7" s="51" customFormat="1">
      <c r="A137" s="52" t="s">
        <v>59</v>
      </c>
      <c r="B137" s="53">
        <v>15</v>
      </c>
      <c r="C137" s="152" t="str">
        <f t="shared" ref="C137:C143" si="11" xml:space="preserve"> IF(B137="","",setValueToTime(B137))</f>
        <v>1h15min</v>
      </c>
      <c r="D137" s="166" t="s">
        <v>119</v>
      </c>
      <c r="E137" s="235"/>
      <c r="F137" s="236"/>
      <c r="G137" s="50"/>
    </row>
    <row r="138" spans="1:7" s="51" customFormat="1">
      <c r="A138" s="52" t="s">
        <v>15</v>
      </c>
      <c r="B138" s="53">
        <v>3</v>
      </c>
      <c r="C138" s="152" t="str">
        <f t="shared" si="11"/>
        <v>0h15min</v>
      </c>
      <c r="D138" s="166" t="s">
        <v>106</v>
      </c>
      <c r="E138" s="235"/>
      <c r="F138" s="236"/>
      <c r="G138" s="50"/>
    </row>
    <row r="139" spans="1:7" s="51" customFormat="1">
      <c r="A139" s="52"/>
      <c r="B139" s="53"/>
      <c r="C139" s="152" t="str">
        <f t="shared" si="11"/>
        <v/>
      </c>
      <c r="D139" s="54"/>
      <c r="E139" s="235"/>
      <c r="F139" s="236"/>
      <c r="G139" s="50"/>
    </row>
    <row r="140" spans="1:7" s="51" customFormat="1">
      <c r="A140" s="53"/>
      <c r="B140" s="53"/>
      <c r="C140" s="153" t="str">
        <f t="shared" si="11"/>
        <v/>
      </c>
      <c r="D140" s="54"/>
      <c r="E140" s="235"/>
      <c r="F140" s="236"/>
      <c r="G140" s="50"/>
    </row>
    <row r="141" spans="1:7" s="51" customFormat="1">
      <c r="A141" s="53"/>
      <c r="B141" s="53"/>
      <c r="C141" s="153" t="str">
        <f t="shared" si="11"/>
        <v/>
      </c>
      <c r="D141" s="54"/>
      <c r="E141" s="235"/>
      <c r="F141" s="236"/>
      <c r="G141" s="50"/>
    </row>
    <row r="142" spans="1:7" s="51" customFormat="1">
      <c r="A142" s="53"/>
      <c r="B142" s="53"/>
      <c r="C142" s="153" t="str">
        <f t="shared" si="11"/>
        <v/>
      </c>
      <c r="D142" s="54"/>
      <c r="E142" s="235"/>
      <c r="F142" s="236"/>
      <c r="G142" s="50"/>
    </row>
    <row r="143" spans="1:7" s="51" customFormat="1" ht="15" thickBot="1">
      <c r="A143" s="55"/>
      <c r="B143" s="55"/>
      <c r="C143" s="154" t="str">
        <f t="shared" si="11"/>
        <v/>
      </c>
      <c r="D143" s="56"/>
      <c r="E143" s="237"/>
      <c r="F143" s="238"/>
      <c r="G143" s="50"/>
    </row>
    <row r="144" spans="1:7" s="51" customFormat="1" ht="15" thickBot="1">
      <c r="A144" s="110" t="s">
        <v>27</v>
      </c>
      <c r="B144" s="83">
        <f>SUM(B136:B143)</f>
        <v>36</v>
      </c>
      <c r="C144" s="110" t="str">
        <f xml:space="preserve"> setValueToTime(B144)</f>
        <v>3h</v>
      </c>
      <c r="D144" s="119"/>
      <c r="E144" s="239"/>
      <c r="F144" s="240"/>
      <c r="G144" s="50"/>
    </row>
    <row r="145" spans="1:7" s="58" customFormat="1" ht="15" thickBot="1">
      <c r="A145" s="78"/>
      <c r="B145" s="78"/>
      <c r="C145" s="78"/>
      <c r="D145" s="78"/>
      <c r="E145" s="78"/>
      <c r="F145" s="78"/>
      <c r="G145" s="57"/>
    </row>
    <row r="146" spans="1:7" s="46" customFormat="1" ht="30" customHeight="1" thickBot="1">
      <c r="A146" s="80" t="s">
        <v>11</v>
      </c>
      <c r="B146" s="162">
        <v>8</v>
      </c>
      <c r="C146" s="162"/>
      <c r="D146" s="81" t="s">
        <v>14</v>
      </c>
      <c r="E146" s="93">
        <v>44230</v>
      </c>
      <c r="F146" s="125" t="s">
        <v>74</v>
      </c>
      <c r="G146" s="45"/>
    </row>
    <row r="147" spans="1:7" s="46" customFormat="1" ht="30" customHeight="1" thickBot="1">
      <c r="A147" s="79" t="s">
        <v>4</v>
      </c>
      <c r="B147" s="149" t="s">
        <v>38</v>
      </c>
      <c r="C147" s="150"/>
      <c r="D147" s="79" t="s">
        <v>12</v>
      </c>
      <c r="E147" s="241" t="s">
        <v>13</v>
      </c>
      <c r="F147" s="242"/>
      <c r="G147" s="45"/>
    </row>
    <row r="148" spans="1:7" s="51" customFormat="1">
      <c r="A148" s="47" t="s">
        <v>56</v>
      </c>
      <c r="B148" s="48">
        <v>3</v>
      </c>
      <c r="C148" s="151"/>
      <c r="D148" s="165" t="s">
        <v>112</v>
      </c>
      <c r="E148" s="243"/>
      <c r="F148" s="244"/>
      <c r="G148" s="50"/>
    </row>
    <row r="149" spans="1:7" s="51" customFormat="1">
      <c r="A149" s="52" t="s">
        <v>60</v>
      </c>
      <c r="B149" s="53">
        <v>42</v>
      </c>
      <c r="C149" s="152"/>
      <c r="D149" s="166" t="s">
        <v>115</v>
      </c>
      <c r="E149" s="235"/>
      <c r="F149" s="236"/>
      <c r="G149" s="50"/>
    </row>
    <row r="150" spans="1:7" s="51" customFormat="1">
      <c r="A150" s="52"/>
      <c r="B150" s="53"/>
      <c r="C150" s="152" t="str">
        <f t="shared" ref="C150:C155" si="12" xml:space="preserve"> IF(B150="","",setValueToTime(B150))</f>
        <v/>
      </c>
      <c r="D150" s="54"/>
      <c r="E150" s="235"/>
      <c r="F150" s="236"/>
      <c r="G150" s="50"/>
    </row>
    <row r="151" spans="1:7" s="51" customFormat="1">
      <c r="A151" s="52"/>
      <c r="B151" s="53"/>
      <c r="C151" s="152" t="str">
        <f t="shared" si="12"/>
        <v/>
      </c>
      <c r="D151" s="54"/>
      <c r="E151" s="235"/>
      <c r="F151" s="236"/>
      <c r="G151" s="50"/>
    </row>
    <row r="152" spans="1:7" s="51" customFormat="1">
      <c r="A152" s="53"/>
      <c r="B152" s="53"/>
      <c r="C152" s="153" t="str">
        <f t="shared" si="12"/>
        <v/>
      </c>
      <c r="D152" s="54"/>
      <c r="E152" s="235"/>
      <c r="F152" s="236"/>
      <c r="G152" s="50"/>
    </row>
    <row r="153" spans="1:7" s="51" customFormat="1">
      <c r="A153" s="53"/>
      <c r="B153" s="53"/>
      <c r="C153" s="153" t="str">
        <f t="shared" si="12"/>
        <v/>
      </c>
      <c r="D153" s="54"/>
      <c r="E153" s="235"/>
      <c r="F153" s="236"/>
      <c r="G153" s="50"/>
    </row>
    <row r="154" spans="1:7" s="51" customFormat="1">
      <c r="A154" s="53"/>
      <c r="B154" s="53"/>
      <c r="C154" s="153" t="str">
        <f t="shared" si="12"/>
        <v/>
      </c>
      <c r="D154" s="54"/>
      <c r="E154" s="235"/>
      <c r="F154" s="236"/>
      <c r="G154" s="50"/>
    </row>
    <row r="155" spans="1:7" s="51" customFormat="1" ht="15" thickBot="1">
      <c r="A155" s="55"/>
      <c r="B155" s="55"/>
      <c r="C155" s="154" t="str">
        <f t="shared" si="12"/>
        <v/>
      </c>
      <c r="D155" s="56"/>
      <c r="E155" s="237"/>
      <c r="F155" s="238"/>
      <c r="G155" s="50"/>
    </row>
    <row r="156" spans="1:7" s="51" customFormat="1" ht="15" thickBot="1">
      <c r="A156" s="110" t="s">
        <v>27</v>
      </c>
      <c r="B156" s="83">
        <f>SUM(B148:B155)</f>
        <v>45</v>
      </c>
      <c r="C156" s="110" t="str">
        <f xml:space="preserve"> setValueToTime(B156)</f>
        <v>3h45min</v>
      </c>
      <c r="D156" s="119"/>
      <c r="E156" s="239"/>
      <c r="F156" s="240"/>
      <c r="G156" s="50"/>
    </row>
    <row r="157" spans="1:7" s="58" customFormat="1" ht="15" thickBot="1">
      <c r="A157" s="78"/>
      <c r="B157" s="78"/>
      <c r="C157" s="78"/>
      <c r="D157" s="78"/>
      <c r="E157" s="78"/>
      <c r="F157" s="78"/>
      <c r="G157" s="57"/>
    </row>
    <row r="158" spans="1:7" s="46" customFormat="1" ht="30" customHeight="1" thickBot="1">
      <c r="A158" s="80" t="s">
        <v>11</v>
      </c>
      <c r="B158" s="162">
        <v>7</v>
      </c>
      <c r="C158" s="162"/>
      <c r="D158" s="81" t="s">
        <v>14</v>
      </c>
      <c r="E158" s="93">
        <v>44228</v>
      </c>
      <c r="F158" s="125" t="s">
        <v>74</v>
      </c>
      <c r="G158" s="45"/>
    </row>
    <row r="159" spans="1:7" s="46" customFormat="1" ht="30" customHeight="1" thickBot="1">
      <c r="A159" s="79" t="s">
        <v>4</v>
      </c>
      <c r="B159" s="149" t="s">
        <v>38</v>
      </c>
      <c r="C159" s="150"/>
      <c r="D159" s="79" t="s">
        <v>12</v>
      </c>
      <c r="E159" s="241" t="s">
        <v>13</v>
      </c>
      <c r="F159" s="242"/>
      <c r="G159" s="45"/>
    </row>
    <row r="160" spans="1:7" s="51" customFormat="1">
      <c r="A160" s="47" t="s">
        <v>56</v>
      </c>
      <c r="B160" s="48">
        <v>3</v>
      </c>
      <c r="C160" s="151" t="str">
        <f xml:space="preserve"> IF(B160="","",setValueToTime(B160))</f>
        <v>0h15min</v>
      </c>
      <c r="D160" s="165" t="s">
        <v>112</v>
      </c>
      <c r="E160" s="243"/>
      <c r="F160" s="244"/>
      <c r="G160" s="50"/>
    </row>
    <row r="161" spans="1:7" s="51" customFormat="1">
      <c r="A161" s="52" t="s">
        <v>60</v>
      </c>
      <c r="B161" s="53">
        <v>33</v>
      </c>
      <c r="C161" s="152" t="str">
        <f t="shared" ref="C161:C167" si="13" xml:space="preserve"> IF(B161="","",setValueToTime(B161))</f>
        <v>2h45min</v>
      </c>
      <c r="D161" s="166" t="s">
        <v>113</v>
      </c>
      <c r="E161" s="235"/>
      <c r="F161" s="236"/>
      <c r="G161" s="50"/>
    </row>
    <row r="162" spans="1:7" s="51" customFormat="1">
      <c r="A162" s="52"/>
      <c r="B162" s="53"/>
      <c r="C162" s="152" t="str">
        <f t="shared" si="13"/>
        <v/>
      </c>
      <c r="D162" s="54"/>
      <c r="E162" s="235"/>
      <c r="F162" s="236"/>
      <c r="G162" s="50"/>
    </row>
    <row r="163" spans="1:7" s="51" customFormat="1">
      <c r="A163" s="52"/>
      <c r="B163" s="53"/>
      <c r="C163" s="152" t="str">
        <f t="shared" si="13"/>
        <v/>
      </c>
      <c r="D163" s="54"/>
      <c r="E163" s="235"/>
      <c r="F163" s="236"/>
      <c r="G163" s="50"/>
    </row>
    <row r="164" spans="1:7" s="51" customFormat="1">
      <c r="A164" s="53"/>
      <c r="B164" s="53"/>
      <c r="C164" s="153" t="str">
        <f t="shared" si="13"/>
        <v/>
      </c>
      <c r="D164" s="54"/>
      <c r="E164" s="235"/>
      <c r="F164" s="236"/>
      <c r="G164" s="50"/>
    </row>
    <row r="165" spans="1:7" s="51" customFormat="1">
      <c r="A165" s="53"/>
      <c r="B165" s="53"/>
      <c r="C165" s="153" t="str">
        <f t="shared" si="13"/>
        <v/>
      </c>
      <c r="D165" s="54"/>
      <c r="E165" s="235"/>
      <c r="F165" s="236"/>
      <c r="G165" s="50"/>
    </row>
    <row r="166" spans="1:7" s="51" customFormat="1">
      <c r="A166" s="53"/>
      <c r="B166" s="53"/>
      <c r="C166" s="153" t="str">
        <f t="shared" si="13"/>
        <v/>
      </c>
      <c r="D166" s="54"/>
      <c r="E166" s="235"/>
      <c r="F166" s="236"/>
      <c r="G166" s="50"/>
    </row>
    <row r="167" spans="1:7" s="51" customFormat="1" ht="15" thickBot="1">
      <c r="A167" s="55"/>
      <c r="B167" s="55"/>
      <c r="C167" s="154" t="str">
        <f t="shared" si="13"/>
        <v/>
      </c>
      <c r="D167" s="56"/>
      <c r="E167" s="237"/>
      <c r="F167" s="238"/>
      <c r="G167" s="50"/>
    </row>
    <row r="168" spans="1:7" s="51" customFormat="1" ht="15" thickBot="1">
      <c r="A168" s="110" t="s">
        <v>27</v>
      </c>
      <c r="B168" s="83">
        <f>SUM(B160:B167)</f>
        <v>36</v>
      </c>
      <c r="C168" s="110" t="str">
        <f xml:space="preserve"> setValueToTime(B168)</f>
        <v>3h</v>
      </c>
      <c r="D168" s="119"/>
      <c r="E168" s="239"/>
      <c r="F168" s="240"/>
      <c r="G168" s="50"/>
    </row>
    <row r="169" spans="1:7" s="58" customFormat="1" ht="15" thickBot="1">
      <c r="A169" s="78"/>
      <c r="B169" s="78"/>
      <c r="C169" s="78"/>
      <c r="D169" s="78"/>
      <c r="E169" s="78"/>
      <c r="F169" s="78"/>
      <c r="G169" s="57"/>
    </row>
    <row r="170" spans="1:7" s="46" customFormat="1" ht="30" customHeight="1" thickBot="1">
      <c r="A170" s="80" t="s">
        <v>11</v>
      </c>
      <c r="B170" s="162">
        <v>6</v>
      </c>
      <c r="C170" s="162"/>
      <c r="D170" s="81" t="s">
        <v>14</v>
      </c>
      <c r="E170" s="93">
        <v>44225</v>
      </c>
      <c r="F170" s="125" t="s">
        <v>91</v>
      </c>
      <c r="G170" s="45"/>
    </row>
    <row r="171" spans="1:7" s="46" customFormat="1" ht="30" customHeight="1" thickBot="1">
      <c r="A171" s="79" t="s">
        <v>4</v>
      </c>
      <c r="B171" s="149" t="s">
        <v>38</v>
      </c>
      <c r="C171" s="150"/>
      <c r="D171" s="79" t="s">
        <v>12</v>
      </c>
      <c r="E171" s="241" t="s">
        <v>13</v>
      </c>
      <c r="F171" s="242"/>
      <c r="G171" s="45"/>
    </row>
    <row r="172" spans="1:7" s="51" customFormat="1">
      <c r="A172" s="47" t="s">
        <v>58</v>
      </c>
      <c r="B172" s="48">
        <v>33</v>
      </c>
      <c r="C172" s="151" t="str">
        <f xml:space="preserve"> IF(B172="","",setValueToTime(B172))</f>
        <v>2h45min</v>
      </c>
      <c r="D172" s="165" t="s">
        <v>96</v>
      </c>
      <c r="E172" s="243"/>
      <c r="F172" s="244"/>
      <c r="G172" s="50"/>
    </row>
    <row r="173" spans="1:7" s="51" customFormat="1">
      <c r="A173" s="52" t="s">
        <v>15</v>
      </c>
      <c r="B173" s="53">
        <v>3</v>
      </c>
      <c r="C173" s="152" t="str">
        <f t="shared" ref="C173:C179" si="14" xml:space="preserve"> IF(B173="","",setValueToTime(B173))</f>
        <v>0h15min</v>
      </c>
      <c r="D173" s="166" t="s">
        <v>94</v>
      </c>
      <c r="E173" s="235"/>
      <c r="F173" s="236"/>
      <c r="G173" s="50"/>
    </row>
    <row r="174" spans="1:7" s="51" customFormat="1">
      <c r="A174" s="52"/>
      <c r="B174" s="53"/>
      <c r="C174" s="152" t="str">
        <f t="shared" si="14"/>
        <v/>
      </c>
      <c r="D174" s="54"/>
      <c r="E174" s="235"/>
      <c r="F174" s="236"/>
      <c r="G174" s="50"/>
    </row>
    <row r="175" spans="1:7" s="51" customFormat="1">
      <c r="A175" s="52"/>
      <c r="B175" s="53"/>
      <c r="C175" s="152" t="str">
        <f t="shared" si="14"/>
        <v/>
      </c>
      <c r="D175" s="54"/>
      <c r="E175" s="235"/>
      <c r="F175" s="236"/>
      <c r="G175" s="50"/>
    </row>
    <row r="176" spans="1:7" s="51" customFormat="1">
      <c r="A176" s="53"/>
      <c r="B176" s="53"/>
      <c r="C176" s="153" t="str">
        <f t="shared" si="14"/>
        <v/>
      </c>
      <c r="D176" s="54"/>
      <c r="E176" s="235"/>
      <c r="F176" s="236"/>
      <c r="G176" s="50"/>
    </row>
    <row r="177" spans="1:7" s="51" customFormat="1">
      <c r="A177" s="53"/>
      <c r="B177" s="53"/>
      <c r="C177" s="153" t="str">
        <f t="shared" si="14"/>
        <v/>
      </c>
      <c r="D177" s="54"/>
      <c r="E177" s="235"/>
      <c r="F177" s="236"/>
      <c r="G177" s="50"/>
    </row>
    <row r="178" spans="1:7" s="51" customFormat="1">
      <c r="A178" s="53"/>
      <c r="B178" s="53"/>
      <c r="C178" s="153" t="str">
        <f t="shared" si="14"/>
        <v/>
      </c>
      <c r="D178" s="54"/>
      <c r="E178" s="235"/>
      <c r="F178" s="236"/>
      <c r="G178" s="50"/>
    </row>
    <row r="179" spans="1:7" s="51" customFormat="1" ht="15" thickBot="1">
      <c r="A179" s="55"/>
      <c r="B179" s="55"/>
      <c r="C179" s="154" t="str">
        <f t="shared" si="14"/>
        <v/>
      </c>
      <c r="D179" s="56"/>
      <c r="E179" s="237"/>
      <c r="F179" s="238"/>
      <c r="G179" s="50"/>
    </row>
    <row r="180" spans="1:7" s="51" customFormat="1" ht="15" thickBot="1">
      <c r="A180" s="110" t="s">
        <v>27</v>
      </c>
      <c r="B180" s="83">
        <f>SUM(B172:B179)</f>
        <v>36</v>
      </c>
      <c r="C180" s="110" t="str">
        <f xml:space="preserve"> setValueToTime(B180)</f>
        <v>3h</v>
      </c>
      <c r="D180" s="119"/>
      <c r="E180" s="239"/>
      <c r="F180" s="240"/>
      <c r="G180" s="50"/>
    </row>
    <row r="181" spans="1:7" s="58" customFormat="1" ht="15" thickBot="1">
      <c r="A181" s="78"/>
      <c r="B181" s="78"/>
      <c r="C181" s="78"/>
      <c r="D181" s="78"/>
      <c r="E181" s="78"/>
      <c r="F181" s="78"/>
      <c r="G181" s="57"/>
    </row>
    <row r="182" spans="1:7" s="46" customFormat="1" ht="30" customHeight="1" thickBot="1">
      <c r="A182" s="80" t="s">
        <v>11</v>
      </c>
      <c r="B182" s="162">
        <v>5</v>
      </c>
      <c r="C182" s="162"/>
      <c r="D182" s="81" t="s">
        <v>14</v>
      </c>
      <c r="E182" s="93">
        <v>44225</v>
      </c>
      <c r="F182" s="125" t="s">
        <v>86</v>
      </c>
      <c r="G182" s="45"/>
    </row>
    <row r="183" spans="1:7" s="46" customFormat="1" ht="30" customHeight="1" thickBot="1">
      <c r="A183" s="79" t="s">
        <v>4</v>
      </c>
      <c r="B183" s="149" t="s">
        <v>38</v>
      </c>
      <c r="C183" s="150"/>
      <c r="D183" s="79" t="s">
        <v>12</v>
      </c>
      <c r="E183" s="241" t="s">
        <v>13</v>
      </c>
      <c r="F183" s="242"/>
      <c r="G183" s="45"/>
    </row>
    <row r="184" spans="1:7" s="51" customFormat="1">
      <c r="A184" s="47" t="s">
        <v>58</v>
      </c>
      <c r="B184" s="48">
        <v>36</v>
      </c>
      <c r="C184" s="151" t="str">
        <f xml:space="preserve"> IF(B184="","",setValueToTime(B184))</f>
        <v>3h</v>
      </c>
      <c r="D184" s="165" t="s">
        <v>95</v>
      </c>
      <c r="E184" s="243"/>
      <c r="F184" s="244"/>
      <c r="G184" s="50"/>
    </row>
    <row r="185" spans="1:7" s="51" customFormat="1">
      <c r="A185" s="52"/>
      <c r="B185" s="53"/>
      <c r="C185" s="152" t="str">
        <f t="shared" ref="C185:C191" si="15" xml:space="preserve"> IF(B185="","",setValueToTime(B185))</f>
        <v/>
      </c>
      <c r="D185" s="54"/>
      <c r="E185" s="235"/>
      <c r="F185" s="236"/>
      <c r="G185" s="50"/>
    </row>
    <row r="186" spans="1:7" s="51" customFormat="1">
      <c r="A186" s="52"/>
      <c r="B186" s="53"/>
      <c r="C186" s="152" t="str">
        <f t="shared" si="15"/>
        <v/>
      </c>
      <c r="D186" s="54"/>
      <c r="E186" s="235"/>
      <c r="F186" s="236"/>
      <c r="G186" s="50"/>
    </row>
    <row r="187" spans="1:7" s="51" customFormat="1">
      <c r="A187" s="52"/>
      <c r="B187" s="53"/>
      <c r="C187" s="152" t="str">
        <f t="shared" si="15"/>
        <v/>
      </c>
      <c r="D187" s="54"/>
      <c r="E187" s="235"/>
      <c r="F187" s="236"/>
      <c r="G187" s="50"/>
    </row>
    <row r="188" spans="1:7" s="51" customFormat="1">
      <c r="A188" s="53"/>
      <c r="B188" s="53"/>
      <c r="C188" s="153" t="str">
        <f t="shared" si="15"/>
        <v/>
      </c>
      <c r="D188" s="54"/>
      <c r="E188" s="235"/>
      <c r="F188" s="236"/>
      <c r="G188" s="50"/>
    </row>
    <row r="189" spans="1:7" s="51" customFormat="1">
      <c r="A189" s="53"/>
      <c r="B189" s="53"/>
      <c r="C189" s="153" t="str">
        <f t="shared" si="15"/>
        <v/>
      </c>
      <c r="D189" s="54"/>
      <c r="E189" s="235"/>
      <c r="F189" s="236"/>
      <c r="G189" s="50"/>
    </row>
    <row r="190" spans="1:7" s="51" customFormat="1">
      <c r="A190" s="53"/>
      <c r="B190" s="53"/>
      <c r="C190" s="153" t="str">
        <f t="shared" si="15"/>
        <v/>
      </c>
      <c r="D190" s="54"/>
      <c r="E190" s="235"/>
      <c r="F190" s="236"/>
      <c r="G190" s="50"/>
    </row>
    <row r="191" spans="1:7" s="51" customFormat="1" ht="15" thickBot="1">
      <c r="A191" s="55"/>
      <c r="B191" s="55"/>
      <c r="C191" s="154" t="str">
        <f t="shared" si="15"/>
        <v/>
      </c>
      <c r="D191" s="56"/>
      <c r="E191" s="237"/>
      <c r="F191" s="238"/>
      <c r="G191" s="50"/>
    </row>
    <row r="192" spans="1:7" s="51" customFormat="1" ht="15" thickBot="1">
      <c r="A192" s="110" t="s">
        <v>27</v>
      </c>
      <c r="B192" s="83">
        <f>SUM(B184:B191)</f>
        <v>36</v>
      </c>
      <c r="C192" s="110" t="str">
        <f xml:space="preserve"> setValueToTime(B192)</f>
        <v>3h</v>
      </c>
      <c r="D192" s="119"/>
      <c r="E192" s="239"/>
      <c r="F192" s="240"/>
      <c r="G192" s="50"/>
    </row>
    <row r="193" spans="1:7" s="58" customFormat="1" ht="15" thickBot="1">
      <c r="A193" s="78"/>
      <c r="B193" s="78"/>
      <c r="C193" s="78"/>
      <c r="D193" s="78"/>
      <c r="E193" s="78"/>
      <c r="F193" s="78"/>
      <c r="G193" s="57"/>
    </row>
    <row r="194" spans="1:7" s="46" customFormat="1" ht="30" customHeight="1" thickBot="1">
      <c r="A194" s="80" t="s">
        <v>11</v>
      </c>
      <c r="B194" s="162">
        <v>4</v>
      </c>
      <c r="C194" s="162"/>
      <c r="D194" s="81" t="s">
        <v>14</v>
      </c>
      <c r="E194" s="93">
        <v>44224</v>
      </c>
      <c r="F194" s="125" t="s">
        <v>91</v>
      </c>
      <c r="G194" s="45"/>
    </row>
    <row r="195" spans="1:7" s="46" customFormat="1" ht="30" customHeight="1" thickBot="1">
      <c r="A195" s="79" t="s">
        <v>4</v>
      </c>
      <c r="B195" s="149" t="s">
        <v>38</v>
      </c>
      <c r="C195" s="150"/>
      <c r="D195" s="79" t="s">
        <v>12</v>
      </c>
      <c r="E195" s="241" t="s">
        <v>13</v>
      </c>
      <c r="F195" s="242"/>
      <c r="G195" s="45"/>
    </row>
    <row r="196" spans="1:7" s="51" customFormat="1">
      <c r="A196" s="47" t="s">
        <v>50</v>
      </c>
      <c r="B196" s="48">
        <v>18</v>
      </c>
      <c r="C196" s="151" t="str">
        <f xml:space="preserve"> IF(B196="","",setValueToTime(B196))</f>
        <v>1h30min</v>
      </c>
      <c r="D196" s="165" t="s">
        <v>92</v>
      </c>
      <c r="E196" s="243"/>
      <c r="F196" s="244"/>
      <c r="G196" s="50"/>
    </row>
    <row r="197" spans="1:7" s="51" customFormat="1">
      <c r="A197" s="52" t="s">
        <v>58</v>
      </c>
      <c r="B197" s="53">
        <v>15</v>
      </c>
      <c r="C197" s="152" t="str">
        <f t="shared" ref="C197:C203" si="16" xml:space="preserve"> IF(B197="","",setValueToTime(B197))</f>
        <v>1h15min</v>
      </c>
      <c r="D197" s="166" t="s">
        <v>93</v>
      </c>
      <c r="E197" s="235"/>
      <c r="F197" s="236"/>
      <c r="G197" s="50"/>
    </row>
    <row r="198" spans="1:7" s="51" customFormat="1">
      <c r="A198" s="52" t="s">
        <v>15</v>
      </c>
      <c r="B198" s="53">
        <v>3</v>
      </c>
      <c r="C198" s="152" t="str">
        <f t="shared" si="16"/>
        <v>0h15min</v>
      </c>
      <c r="D198" s="166" t="s">
        <v>94</v>
      </c>
      <c r="E198" s="235"/>
      <c r="F198" s="236"/>
      <c r="G198" s="50"/>
    </row>
    <row r="199" spans="1:7" s="51" customFormat="1">
      <c r="A199" s="52"/>
      <c r="B199" s="53"/>
      <c r="C199" s="152" t="str">
        <f t="shared" si="16"/>
        <v/>
      </c>
      <c r="D199" s="54"/>
      <c r="E199" s="235"/>
      <c r="F199" s="236"/>
      <c r="G199" s="50"/>
    </row>
    <row r="200" spans="1:7" s="51" customFormat="1">
      <c r="A200" s="53"/>
      <c r="B200" s="53"/>
      <c r="C200" s="153" t="str">
        <f t="shared" si="16"/>
        <v/>
      </c>
      <c r="D200" s="54"/>
      <c r="E200" s="235"/>
      <c r="F200" s="236"/>
      <c r="G200" s="50"/>
    </row>
    <row r="201" spans="1:7" s="51" customFormat="1">
      <c r="A201" s="53"/>
      <c r="B201" s="53"/>
      <c r="C201" s="153" t="str">
        <f t="shared" si="16"/>
        <v/>
      </c>
      <c r="D201" s="54"/>
      <c r="E201" s="235"/>
      <c r="F201" s="236"/>
      <c r="G201" s="50"/>
    </row>
    <row r="202" spans="1:7" s="51" customFormat="1">
      <c r="A202" s="53"/>
      <c r="B202" s="53"/>
      <c r="C202" s="153" t="str">
        <f t="shared" si="16"/>
        <v/>
      </c>
      <c r="D202" s="54"/>
      <c r="E202" s="235"/>
      <c r="F202" s="236"/>
      <c r="G202" s="50"/>
    </row>
    <row r="203" spans="1:7" s="51" customFormat="1" ht="15" thickBot="1">
      <c r="A203" s="55"/>
      <c r="B203" s="55"/>
      <c r="C203" s="154" t="str">
        <f t="shared" si="16"/>
        <v/>
      </c>
      <c r="D203" s="56"/>
      <c r="E203" s="237"/>
      <c r="F203" s="238"/>
      <c r="G203" s="50"/>
    </row>
    <row r="204" spans="1:7" s="51" customFormat="1" ht="15" thickBot="1">
      <c r="A204" s="110" t="s">
        <v>27</v>
      </c>
      <c r="B204" s="83">
        <f>SUM(B196:B203)</f>
        <v>36</v>
      </c>
      <c r="C204" s="110" t="str">
        <f xml:space="preserve"> setValueToTime(B204)</f>
        <v>3h</v>
      </c>
      <c r="D204" s="119"/>
      <c r="E204" s="239"/>
      <c r="F204" s="240"/>
      <c r="G204" s="50"/>
    </row>
    <row r="205" spans="1:7" s="58" customFormat="1" ht="15" thickBot="1">
      <c r="A205" s="78"/>
      <c r="B205" s="78"/>
      <c r="C205" s="78"/>
      <c r="D205" s="78"/>
      <c r="E205" s="78"/>
      <c r="F205" s="78"/>
      <c r="G205" s="57"/>
    </row>
    <row r="206" spans="1:7" s="46" customFormat="1" ht="30" customHeight="1" thickBot="1">
      <c r="A206" s="80" t="s">
        <v>11</v>
      </c>
      <c r="B206" s="162">
        <v>3</v>
      </c>
      <c r="C206" s="162"/>
      <c r="D206" s="81" t="s">
        <v>14</v>
      </c>
      <c r="E206" s="93">
        <v>44224</v>
      </c>
      <c r="F206" s="125" t="s">
        <v>86</v>
      </c>
      <c r="G206" s="45"/>
    </row>
    <row r="207" spans="1:7" s="46" customFormat="1" ht="30" customHeight="1" thickBot="1">
      <c r="A207" s="79" t="s">
        <v>4</v>
      </c>
      <c r="B207" s="149" t="s">
        <v>38</v>
      </c>
      <c r="C207" s="150"/>
      <c r="D207" s="79" t="s">
        <v>12</v>
      </c>
      <c r="E207" s="241" t="s">
        <v>13</v>
      </c>
      <c r="F207" s="242"/>
      <c r="G207" s="45"/>
    </row>
    <row r="208" spans="1:7" s="51" customFormat="1">
      <c r="A208" s="47" t="s">
        <v>15</v>
      </c>
      <c r="B208" s="48">
        <v>12</v>
      </c>
      <c r="C208" s="151" t="str">
        <f xml:space="preserve"> IF(B208="","",setValueToTime(B208))</f>
        <v>1h</v>
      </c>
      <c r="D208" s="165" t="s">
        <v>87</v>
      </c>
      <c r="E208" s="243"/>
      <c r="F208" s="244"/>
      <c r="G208" s="50"/>
    </row>
    <row r="209" spans="1:7" s="51" customFormat="1">
      <c r="A209" s="52" t="s">
        <v>50</v>
      </c>
      <c r="B209" s="53">
        <v>18</v>
      </c>
      <c r="C209" s="152" t="str">
        <f t="shared" ref="C209:C215" si="17" xml:space="preserve"> IF(B209="","",setValueToTime(B209))</f>
        <v>1h30min</v>
      </c>
      <c r="D209" s="166" t="s">
        <v>88</v>
      </c>
      <c r="E209" s="235"/>
      <c r="F209" s="236"/>
      <c r="G209" s="50"/>
    </row>
    <row r="210" spans="1:7" s="51" customFormat="1">
      <c r="A210" s="52" t="s">
        <v>52</v>
      </c>
      <c r="B210" s="53">
        <v>12</v>
      </c>
      <c r="C210" s="152" t="str">
        <f t="shared" si="17"/>
        <v>1h</v>
      </c>
      <c r="D210" s="166" t="s">
        <v>89</v>
      </c>
      <c r="E210" s="235"/>
      <c r="F210" s="236"/>
      <c r="G210" s="50"/>
    </row>
    <row r="211" spans="1:7" s="51" customFormat="1">
      <c r="A211" s="52" t="s">
        <v>15</v>
      </c>
      <c r="B211" s="53">
        <v>3</v>
      </c>
      <c r="C211" s="152" t="str">
        <f t="shared" si="17"/>
        <v>0h15min</v>
      </c>
      <c r="D211" s="166" t="s">
        <v>90</v>
      </c>
      <c r="E211" s="235"/>
      <c r="F211" s="236"/>
      <c r="G211" s="50"/>
    </row>
    <row r="212" spans="1:7" s="51" customFormat="1">
      <c r="A212" s="53"/>
      <c r="B212" s="53"/>
      <c r="C212" s="153" t="str">
        <f t="shared" si="17"/>
        <v/>
      </c>
      <c r="D212" s="54"/>
      <c r="E212" s="235"/>
      <c r="F212" s="236"/>
      <c r="G212" s="50"/>
    </row>
    <row r="213" spans="1:7" s="51" customFormat="1">
      <c r="A213" s="53"/>
      <c r="B213" s="53"/>
      <c r="C213" s="153" t="str">
        <f t="shared" si="17"/>
        <v/>
      </c>
      <c r="D213" s="54"/>
      <c r="E213" s="235"/>
      <c r="F213" s="236"/>
      <c r="G213" s="50"/>
    </row>
    <row r="214" spans="1:7" s="51" customFormat="1">
      <c r="A214" s="53"/>
      <c r="B214" s="53"/>
      <c r="C214" s="153" t="str">
        <f t="shared" si="17"/>
        <v/>
      </c>
      <c r="D214" s="54"/>
      <c r="E214" s="235"/>
      <c r="F214" s="236"/>
      <c r="G214" s="50"/>
    </row>
    <row r="215" spans="1:7" s="51" customFormat="1" ht="15" thickBot="1">
      <c r="A215" s="55"/>
      <c r="B215" s="55"/>
      <c r="C215" s="154" t="str">
        <f t="shared" si="17"/>
        <v/>
      </c>
      <c r="D215" s="56"/>
      <c r="E215" s="237"/>
      <c r="F215" s="238"/>
      <c r="G215" s="50"/>
    </row>
    <row r="216" spans="1:7" s="51" customFormat="1" ht="15" thickBot="1">
      <c r="A216" s="110" t="s">
        <v>27</v>
      </c>
      <c r="B216" s="83">
        <f>SUM(B208:B215)</f>
        <v>45</v>
      </c>
      <c r="C216" s="110" t="str">
        <f xml:space="preserve"> setValueToTime(B216)</f>
        <v>3h45min</v>
      </c>
      <c r="D216" s="119"/>
      <c r="E216" s="239"/>
      <c r="F216" s="240"/>
      <c r="G216" s="50"/>
    </row>
    <row r="217" spans="1:7" s="58" customFormat="1" ht="15" thickBot="1">
      <c r="A217" s="78"/>
      <c r="B217" s="78"/>
      <c r="C217" s="78"/>
      <c r="D217" s="78"/>
      <c r="E217" s="78"/>
      <c r="F217" s="78"/>
      <c r="G217" s="57"/>
    </row>
    <row r="218" spans="1:7" s="46" customFormat="1" ht="30" customHeight="1" thickBot="1">
      <c r="A218" s="80" t="s">
        <v>11</v>
      </c>
      <c r="B218" s="162">
        <v>2</v>
      </c>
      <c r="C218" s="162"/>
      <c r="D218" s="81" t="s">
        <v>14</v>
      </c>
      <c r="E218" s="93">
        <v>44223</v>
      </c>
      <c r="F218" s="125" t="s">
        <v>75</v>
      </c>
      <c r="G218" s="45"/>
    </row>
    <row r="219" spans="1:7" s="46" customFormat="1" ht="30" customHeight="1" thickBot="1">
      <c r="A219" s="79" t="s">
        <v>4</v>
      </c>
      <c r="B219" s="149" t="s">
        <v>38</v>
      </c>
      <c r="C219" s="150"/>
      <c r="D219" s="79" t="s">
        <v>12</v>
      </c>
      <c r="E219" s="241" t="s">
        <v>13</v>
      </c>
      <c r="F219" s="242"/>
      <c r="G219" s="45"/>
    </row>
    <row r="220" spans="1:7" s="51" customFormat="1">
      <c r="A220" s="47" t="s">
        <v>58</v>
      </c>
      <c r="B220" s="48">
        <v>36</v>
      </c>
      <c r="C220" s="151"/>
      <c r="D220" s="165" t="s">
        <v>76</v>
      </c>
      <c r="E220" s="243"/>
      <c r="F220" s="244"/>
      <c r="G220" s="50"/>
    </row>
    <row r="221" spans="1:7" s="51" customFormat="1">
      <c r="A221" s="52" t="s">
        <v>57</v>
      </c>
      <c r="B221" s="53">
        <v>15</v>
      </c>
      <c r="C221" s="152"/>
      <c r="D221" s="166" t="s">
        <v>78</v>
      </c>
      <c r="E221" s="235"/>
      <c r="F221" s="236"/>
      <c r="G221" s="50"/>
    </row>
    <row r="222" spans="1:7" s="51" customFormat="1">
      <c r="A222" s="52"/>
      <c r="B222" s="53"/>
      <c r="C222" s="152" t="str">
        <f t="shared" ref="C222:C227" si="18" xml:space="preserve"> IF(B222="","",setValueToTime(B222))</f>
        <v/>
      </c>
      <c r="D222" s="54"/>
      <c r="E222" s="235"/>
      <c r="F222" s="236"/>
      <c r="G222" s="50"/>
    </row>
    <row r="223" spans="1:7" s="51" customFormat="1">
      <c r="A223" s="52"/>
      <c r="B223" s="53"/>
      <c r="C223" s="152" t="str">
        <f t="shared" si="18"/>
        <v/>
      </c>
      <c r="D223" s="54"/>
      <c r="E223" s="235"/>
      <c r="F223" s="236"/>
      <c r="G223" s="50"/>
    </row>
    <row r="224" spans="1:7" s="51" customFormat="1">
      <c r="A224" s="53"/>
      <c r="B224" s="53"/>
      <c r="C224" s="153" t="str">
        <f t="shared" si="18"/>
        <v/>
      </c>
      <c r="D224" s="54"/>
      <c r="E224" s="235"/>
      <c r="F224" s="236"/>
      <c r="G224" s="50"/>
    </row>
    <row r="225" spans="1:7" s="51" customFormat="1">
      <c r="A225" s="53"/>
      <c r="B225" s="53"/>
      <c r="C225" s="153" t="str">
        <f t="shared" si="18"/>
        <v/>
      </c>
      <c r="D225" s="54"/>
      <c r="E225" s="235"/>
      <c r="F225" s="236"/>
      <c r="G225" s="50"/>
    </row>
    <row r="226" spans="1:7" s="51" customFormat="1">
      <c r="A226" s="53"/>
      <c r="B226" s="53"/>
      <c r="C226" s="153" t="str">
        <f t="shared" si="18"/>
        <v/>
      </c>
      <c r="D226" s="54"/>
      <c r="E226" s="235"/>
      <c r="F226" s="236"/>
      <c r="G226" s="50"/>
    </row>
    <row r="227" spans="1:7" s="51" customFormat="1" ht="15" thickBot="1">
      <c r="A227" s="55"/>
      <c r="B227" s="55"/>
      <c r="C227" s="154" t="str">
        <f t="shared" si="18"/>
        <v/>
      </c>
      <c r="D227" s="56"/>
      <c r="E227" s="237"/>
      <c r="F227" s="238"/>
      <c r="G227" s="50"/>
    </row>
    <row r="228" spans="1:7" s="51" customFormat="1" ht="15" thickBot="1">
      <c r="A228" s="110" t="s">
        <v>27</v>
      </c>
      <c r="B228" s="83">
        <f>SUM(B220:B227)</f>
        <v>51</v>
      </c>
      <c r="C228" s="110" t="str">
        <f xml:space="preserve"> setValueToTime(B228)</f>
        <v>4h15min</v>
      </c>
      <c r="D228" s="119"/>
      <c r="E228" s="239"/>
      <c r="F228" s="240"/>
      <c r="G228" s="50"/>
    </row>
    <row r="229" spans="1:7" s="58" customFormat="1" ht="15" thickBot="1">
      <c r="A229" s="78"/>
      <c r="B229" s="78"/>
      <c r="C229" s="78"/>
      <c r="D229" s="78"/>
      <c r="E229" s="78"/>
      <c r="F229" s="78"/>
      <c r="G229" s="57"/>
    </row>
    <row r="230" spans="1:7" s="46" customFormat="1" ht="30" customHeight="1" thickBot="1">
      <c r="A230" s="80" t="s">
        <v>11</v>
      </c>
      <c r="B230" s="162">
        <v>1</v>
      </c>
      <c r="C230" s="162"/>
      <c r="D230" s="81" t="s">
        <v>14</v>
      </c>
      <c r="E230" s="93">
        <v>44223</v>
      </c>
      <c r="F230" s="125" t="s">
        <v>74</v>
      </c>
      <c r="G230" s="45"/>
    </row>
    <row r="231" spans="1:7" s="46" customFormat="1" ht="30" customHeight="1" thickBot="1">
      <c r="A231" s="79" t="s">
        <v>4</v>
      </c>
      <c r="B231" s="149" t="s">
        <v>38</v>
      </c>
      <c r="C231" s="150"/>
      <c r="D231" s="79" t="s">
        <v>12</v>
      </c>
      <c r="E231" s="241" t="s">
        <v>13</v>
      </c>
      <c r="F231" s="242"/>
      <c r="G231" s="45"/>
    </row>
    <row r="232" spans="1:7" s="51" customFormat="1">
      <c r="A232" s="47" t="s">
        <v>51</v>
      </c>
      <c r="B232" s="48">
        <v>12</v>
      </c>
      <c r="C232" s="152" t="str">
        <f xml:space="preserve"> IF(B232="","",setValueToTime(B232))</f>
        <v>1h</v>
      </c>
      <c r="D232" s="165" t="s">
        <v>68</v>
      </c>
      <c r="E232" s="243"/>
      <c r="F232" s="244"/>
      <c r="G232" s="50"/>
    </row>
    <row r="233" spans="1:7" s="51" customFormat="1">
      <c r="A233" s="52" t="s">
        <v>56</v>
      </c>
      <c r="B233" s="53">
        <v>9</v>
      </c>
      <c r="C233" s="152" t="str">
        <f xml:space="preserve"> IF(B233="","",setValueToTime(B233))</f>
        <v>0h45min</v>
      </c>
      <c r="D233" s="166" t="s">
        <v>70</v>
      </c>
      <c r="E233" s="235"/>
      <c r="F233" s="236"/>
      <c r="G233" s="50"/>
    </row>
    <row r="234" spans="1:7" s="51" customFormat="1" ht="27">
      <c r="A234" s="52" t="s">
        <v>64</v>
      </c>
      <c r="B234" s="53">
        <v>9</v>
      </c>
      <c r="C234" s="152" t="str">
        <f t="shared" ref="C234:C239" si="19" xml:space="preserve"> IF(B234="","",setValueToTime(B234))</f>
        <v>0h45min</v>
      </c>
      <c r="D234" s="166" t="s">
        <v>72</v>
      </c>
      <c r="E234" s="235"/>
      <c r="F234" s="236"/>
      <c r="G234" s="50"/>
    </row>
    <row r="235" spans="1:7" s="51" customFormat="1" ht="27">
      <c r="A235" s="52" t="s">
        <v>65</v>
      </c>
      <c r="B235" s="53">
        <v>9</v>
      </c>
      <c r="C235" s="152" t="str">
        <f t="shared" si="19"/>
        <v>0h45min</v>
      </c>
      <c r="D235" s="166" t="s">
        <v>73</v>
      </c>
      <c r="E235" s="235"/>
      <c r="F235" s="236"/>
      <c r="G235" s="50"/>
    </row>
    <row r="236" spans="1:7" s="51" customFormat="1">
      <c r="A236" s="53" t="s">
        <v>58</v>
      </c>
      <c r="B236" s="53">
        <v>12</v>
      </c>
      <c r="C236" s="153" t="str">
        <f t="shared" si="19"/>
        <v>1h</v>
      </c>
      <c r="D236" s="166" t="s">
        <v>77</v>
      </c>
      <c r="E236" s="235"/>
      <c r="F236" s="236"/>
      <c r="G236" s="50"/>
    </row>
    <row r="237" spans="1:7" s="51" customFormat="1">
      <c r="A237" s="53"/>
      <c r="B237" s="53"/>
      <c r="C237" s="153" t="str">
        <f t="shared" si="19"/>
        <v/>
      </c>
      <c r="D237" s="54"/>
      <c r="E237" s="235"/>
      <c r="F237" s="236"/>
      <c r="G237" s="50"/>
    </row>
    <row r="238" spans="1:7" s="51" customFormat="1">
      <c r="A238" s="53"/>
      <c r="B238" s="53"/>
      <c r="C238" s="153" t="str">
        <f t="shared" si="19"/>
        <v/>
      </c>
      <c r="D238" s="54"/>
      <c r="E238" s="235"/>
      <c r="F238" s="236"/>
      <c r="G238" s="50"/>
    </row>
    <row r="239" spans="1:7" s="51" customFormat="1" ht="15" thickBot="1">
      <c r="A239" s="55"/>
      <c r="B239" s="55"/>
      <c r="C239" s="154" t="str">
        <f t="shared" si="19"/>
        <v/>
      </c>
      <c r="D239" s="56"/>
      <c r="E239" s="237"/>
      <c r="F239" s="238"/>
      <c r="G239" s="50"/>
    </row>
    <row r="240" spans="1:7" s="51" customFormat="1" ht="15" thickBot="1">
      <c r="A240" s="110" t="s">
        <v>27</v>
      </c>
      <c r="B240" s="83">
        <f>SUM(B232:B239)</f>
        <v>51</v>
      </c>
      <c r="C240" s="110" t="str">
        <f xml:space="preserve"> setValueToTime(B240)</f>
        <v>4h15min</v>
      </c>
      <c r="D240" s="119"/>
      <c r="E240" s="239"/>
      <c r="F240" s="240"/>
      <c r="G240" s="50"/>
    </row>
    <row r="241" spans="1:7" s="58" customFormat="1">
      <c r="A241" s="78"/>
      <c r="B241" s="78"/>
      <c r="C241" s="78"/>
      <c r="D241" s="78"/>
      <c r="E241" s="78"/>
      <c r="F241" s="78"/>
      <c r="G241" s="57"/>
    </row>
  </sheetData>
  <sheetProtection formatRows="0" insertRows="0" insertHyperlinks="0" deleteRows="0" selectLockedCells="1"/>
  <mergeCells count="200">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238:F238"/>
    <mergeCell ref="E239:F239"/>
    <mergeCell ref="E240:F240"/>
    <mergeCell ref="E219:F219"/>
    <mergeCell ref="E220:F220"/>
    <mergeCell ref="E221:F221"/>
    <mergeCell ref="E222:F222"/>
    <mergeCell ref="E223:F223"/>
    <mergeCell ref="E224:F224"/>
    <mergeCell ref="E231:F231"/>
    <mergeCell ref="E232:F232"/>
    <mergeCell ref="E233:F233"/>
    <mergeCell ref="E234:F234"/>
    <mergeCell ref="E235:F235"/>
    <mergeCell ref="E236:F236"/>
    <mergeCell ref="E225:F225"/>
    <mergeCell ref="E226:F226"/>
    <mergeCell ref="E227:F227"/>
    <mergeCell ref="E228:F228"/>
    <mergeCell ref="E237:F237"/>
    <mergeCell ref="E216:F216"/>
    <mergeCell ref="E200:F200"/>
    <mergeCell ref="E201:F201"/>
    <mergeCell ref="E202:F202"/>
    <mergeCell ref="E203:F203"/>
    <mergeCell ref="E204:F204"/>
    <mergeCell ref="E195:F195"/>
    <mergeCell ref="E196:F196"/>
    <mergeCell ref="E197:F197"/>
    <mergeCell ref="E198:F198"/>
    <mergeCell ref="E199:F199"/>
    <mergeCell ref="E207:F207"/>
    <mergeCell ref="E208:F208"/>
    <mergeCell ref="E209:F209"/>
    <mergeCell ref="E210:F210"/>
    <mergeCell ref="E211:F211"/>
    <mergeCell ref="E212:F212"/>
    <mergeCell ref="E213:F213"/>
    <mergeCell ref="E214:F214"/>
    <mergeCell ref="E215:F215"/>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s>
  <phoneticPr fontId="0" type="noConversion"/>
  <conditionalFormatting sqref="B240">
    <cfRule type="cellIs" dxfId="41" priority="20" operator="greaterThan">
      <formula>60</formula>
    </cfRule>
  </conditionalFormatting>
  <conditionalFormatting sqref="B228">
    <cfRule type="cellIs" dxfId="40" priority="19" operator="greaterThan">
      <formula>60</formula>
    </cfRule>
  </conditionalFormatting>
  <conditionalFormatting sqref="B216">
    <cfRule type="cellIs" dxfId="39" priority="18" operator="greaterThan">
      <formula>60</formula>
    </cfRule>
  </conditionalFormatting>
  <conditionalFormatting sqref="B204">
    <cfRule type="cellIs" dxfId="38" priority="17" operator="greaterThan">
      <formula>60</formula>
    </cfRule>
  </conditionalFormatting>
  <conditionalFormatting sqref="B192">
    <cfRule type="cellIs" dxfId="37" priority="16" operator="greaterThan">
      <formula>60</formula>
    </cfRule>
  </conditionalFormatting>
  <conditionalFormatting sqref="B180">
    <cfRule type="cellIs" dxfId="36" priority="15" operator="greaterThan">
      <formula>60</formula>
    </cfRule>
  </conditionalFormatting>
  <conditionalFormatting sqref="B168">
    <cfRule type="cellIs" dxfId="35" priority="14" operator="greaterThan">
      <formula>60</formula>
    </cfRule>
  </conditionalFormatting>
  <conditionalFormatting sqref="B156">
    <cfRule type="cellIs" dxfId="34" priority="13" operator="greaterThan">
      <formula>60</formula>
    </cfRule>
  </conditionalFormatting>
  <conditionalFormatting sqref="B144">
    <cfRule type="cellIs" dxfId="33" priority="12" operator="greaterThan">
      <formula>60</formula>
    </cfRule>
  </conditionalFormatting>
  <conditionalFormatting sqref="B132">
    <cfRule type="cellIs" dxfId="32" priority="11" operator="greaterThan">
      <formula>60</formula>
    </cfRule>
  </conditionalFormatting>
  <conditionalFormatting sqref="B120">
    <cfRule type="cellIs" dxfId="31" priority="10" operator="greaterThan">
      <formula>60</formula>
    </cfRule>
  </conditionalFormatting>
  <conditionalFormatting sqref="B108">
    <cfRule type="cellIs" dxfId="30" priority="9" operator="greaterThan">
      <formula>60</formula>
    </cfRule>
  </conditionalFormatting>
  <conditionalFormatting sqref="B96">
    <cfRule type="cellIs" dxfId="29" priority="8" operator="greaterThan">
      <formula>60</formula>
    </cfRule>
  </conditionalFormatting>
  <conditionalFormatting sqref="B84">
    <cfRule type="cellIs" dxfId="28" priority="7" operator="greaterThan">
      <formula>60</formula>
    </cfRule>
  </conditionalFormatting>
  <conditionalFormatting sqref="B72">
    <cfRule type="cellIs" dxfId="27" priority="6" operator="greaterThan">
      <formula>60</formula>
    </cfRule>
  </conditionalFormatting>
  <conditionalFormatting sqref="B60">
    <cfRule type="cellIs" dxfId="26" priority="5" operator="greaterThan">
      <formula>60</formula>
    </cfRule>
  </conditionalFormatting>
  <conditionalFormatting sqref="B48">
    <cfRule type="cellIs" dxfId="25" priority="4" operator="greaterThan">
      <formula>60</formula>
    </cfRule>
  </conditionalFormatting>
  <conditionalFormatting sqref="B36">
    <cfRule type="cellIs" dxfId="24" priority="3" operator="greaterThan">
      <formula>60</formula>
    </cfRule>
  </conditionalFormatting>
  <conditionalFormatting sqref="B24">
    <cfRule type="cellIs" dxfId="23" priority="2" operator="greaterThan">
      <formula>60</formula>
    </cfRule>
  </conditionalFormatting>
  <conditionalFormatting sqref="B12">
    <cfRule type="cellIs" dxfId="22"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20:B227 B232:B239 B208:B215 B196:B203 B184:B191 B172:B179 B160:B167 B148:B155 B136:B143 B124:B131 B112:B119 B100:B107 B88:B95 B76:B83 B64:B71 B52:B59 B40:B47 B28:B35 B16:B23 B4:B11">
      <formula1>0</formula1>
    </dataValidation>
    <dataValidation type="list" allowBlank="1" showInputMessage="1" showErrorMessage="1" sqref="A220:A227 A232:A239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41"/>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20</v>
      </c>
      <c r="C2" s="163"/>
      <c r="D2" s="156" t="s">
        <v>14</v>
      </c>
      <c r="E2" s="157" t="s">
        <v>153</v>
      </c>
      <c r="F2" s="158" t="s">
        <v>75</v>
      </c>
      <c r="G2" s="45"/>
    </row>
    <row r="3" spans="1:7" s="46" customFormat="1" ht="30" customHeight="1" thickBot="1">
      <c r="A3" s="77" t="s">
        <v>4</v>
      </c>
      <c r="B3" s="160" t="s">
        <v>38</v>
      </c>
      <c r="C3" s="159"/>
      <c r="D3" s="77" t="s">
        <v>12</v>
      </c>
      <c r="E3" s="247" t="s">
        <v>13</v>
      </c>
      <c r="F3" s="248"/>
      <c r="G3" s="45"/>
    </row>
    <row r="4" spans="1:7" s="51" customFormat="1" ht="27">
      <c r="A4" s="47" t="s">
        <v>165</v>
      </c>
      <c r="B4" s="48">
        <v>33</v>
      </c>
      <c r="C4" s="151" t="str">
        <f xml:space="preserve"> IF(B4="","",setValueToTime(B4))</f>
        <v>2h45min</v>
      </c>
      <c r="D4" s="165" t="s">
        <v>168</v>
      </c>
      <c r="E4" s="243"/>
      <c r="F4" s="244"/>
      <c r="G4" s="50"/>
    </row>
    <row r="5" spans="1:7" s="51" customFormat="1">
      <c r="A5" s="52" t="s">
        <v>15</v>
      </c>
      <c r="B5" s="53">
        <v>3</v>
      </c>
      <c r="C5" s="152" t="str">
        <f t="shared" ref="C5:C11" si="0" xml:space="preserve"> IF(B5="","",setValueToTime(B5))</f>
        <v>0h15min</v>
      </c>
      <c r="D5" s="166" t="s">
        <v>106</v>
      </c>
      <c r="E5" s="235"/>
      <c r="F5" s="236"/>
      <c r="G5" s="50"/>
    </row>
    <row r="6" spans="1:7" s="51" customFormat="1">
      <c r="A6" s="52"/>
      <c r="B6" s="53"/>
      <c r="C6" s="152" t="str">
        <f t="shared" si="0"/>
        <v/>
      </c>
      <c r="D6" s="54"/>
      <c r="E6" s="235"/>
      <c r="F6" s="236"/>
      <c r="G6" s="50"/>
    </row>
    <row r="7" spans="1:7" s="51" customFormat="1">
      <c r="A7" s="52"/>
      <c r="B7" s="53"/>
      <c r="C7" s="152" t="str">
        <f t="shared" si="0"/>
        <v/>
      </c>
      <c r="D7" s="54"/>
      <c r="E7" s="235"/>
      <c r="F7" s="236"/>
      <c r="G7" s="50"/>
    </row>
    <row r="8" spans="1:7" s="51" customFormat="1">
      <c r="A8" s="53"/>
      <c r="B8" s="53"/>
      <c r="C8" s="153" t="str">
        <f t="shared" si="0"/>
        <v/>
      </c>
      <c r="D8" s="54"/>
      <c r="E8" s="235"/>
      <c r="F8" s="236"/>
      <c r="G8" s="50"/>
    </row>
    <row r="9" spans="1:7" s="51" customFormat="1">
      <c r="A9" s="53"/>
      <c r="B9" s="53"/>
      <c r="C9" s="153" t="str">
        <f t="shared" si="0"/>
        <v/>
      </c>
      <c r="D9" s="54"/>
      <c r="E9" s="235"/>
      <c r="F9" s="236"/>
      <c r="G9" s="50"/>
    </row>
    <row r="10" spans="1:7" s="51" customFormat="1">
      <c r="A10" s="53"/>
      <c r="B10" s="53"/>
      <c r="C10" s="153" t="str">
        <f t="shared" si="0"/>
        <v/>
      </c>
      <c r="D10" s="54"/>
      <c r="E10" s="235"/>
      <c r="F10" s="236"/>
      <c r="G10" s="50"/>
    </row>
    <row r="11" spans="1:7" s="51" customFormat="1" ht="15" thickBot="1">
      <c r="A11" s="55"/>
      <c r="B11" s="55"/>
      <c r="C11" s="154" t="str">
        <f t="shared" si="0"/>
        <v/>
      </c>
      <c r="D11" s="56"/>
      <c r="E11" s="237"/>
      <c r="F11" s="238"/>
      <c r="G11" s="50"/>
    </row>
    <row r="12" spans="1:7" s="51" customFormat="1" ht="15" thickBot="1">
      <c r="A12" s="161" t="s">
        <v>27</v>
      </c>
      <c r="B12" s="82">
        <f>SUM(B4:B11)</f>
        <v>36</v>
      </c>
      <c r="C12" s="161" t="str">
        <f xml:space="preserve"> setValueToTime(B12)</f>
        <v>3h</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19</v>
      </c>
      <c r="C14" s="163"/>
      <c r="D14" s="156" t="s">
        <v>14</v>
      </c>
      <c r="E14" s="157" t="s">
        <v>153</v>
      </c>
      <c r="F14" s="158" t="s">
        <v>74</v>
      </c>
      <c r="G14" s="45"/>
    </row>
    <row r="15" spans="1:7" s="46" customFormat="1" ht="30" customHeight="1" thickBot="1">
      <c r="A15" s="77" t="s">
        <v>4</v>
      </c>
      <c r="B15" s="160" t="s">
        <v>38</v>
      </c>
      <c r="C15" s="159"/>
      <c r="D15" s="77" t="s">
        <v>12</v>
      </c>
      <c r="E15" s="247" t="s">
        <v>13</v>
      </c>
      <c r="F15" s="248"/>
      <c r="G15" s="45"/>
    </row>
    <row r="16" spans="1:7" s="51" customFormat="1">
      <c r="A16" s="47" t="s">
        <v>50</v>
      </c>
      <c r="B16" s="48">
        <v>32</v>
      </c>
      <c r="C16" s="151" t="str">
        <f xml:space="preserve"> IF(B16="","",setValueToTime(B16))</f>
        <v>2h40min</v>
      </c>
      <c r="D16" s="165" t="s">
        <v>167</v>
      </c>
      <c r="E16" s="243"/>
      <c r="F16" s="244"/>
      <c r="G16" s="50"/>
    </row>
    <row r="17" spans="1:7" s="51" customFormat="1">
      <c r="A17" s="52" t="s">
        <v>15</v>
      </c>
      <c r="B17" s="53">
        <v>2</v>
      </c>
      <c r="C17" s="152" t="str">
        <f t="shared" ref="C17:C23" si="1" xml:space="preserve"> IF(B17="","",setValueToTime(B17))</f>
        <v>0h10min</v>
      </c>
      <c r="D17" s="166" t="s">
        <v>106</v>
      </c>
      <c r="E17" s="235"/>
      <c r="F17" s="236"/>
      <c r="G17" s="50"/>
    </row>
    <row r="18" spans="1:7" s="51" customFormat="1">
      <c r="A18" s="52"/>
      <c r="B18" s="53"/>
      <c r="C18" s="152" t="str">
        <f t="shared" si="1"/>
        <v/>
      </c>
      <c r="D18" s="54"/>
      <c r="E18" s="235"/>
      <c r="F18" s="236"/>
      <c r="G18" s="50"/>
    </row>
    <row r="19" spans="1:7" s="51" customFormat="1">
      <c r="A19" s="52"/>
      <c r="B19" s="53"/>
      <c r="C19" s="152" t="str">
        <f t="shared" si="1"/>
        <v/>
      </c>
      <c r="D19" s="54"/>
      <c r="E19" s="235"/>
      <c r="F19" s="236"/>
      <c r="G19" s="50"/>
    </row>
    <row r="20" spans="1:7" s="51" customFormat="1">
      <c r="A20" s="53"/>
      <c r="B20" s="53"/>
      <c r="C20" s="153" t="str">
        <f t="shared" si="1"/>
        <v/>
      </c>
      <c r="D20" s="54"/>
      <c r="E20" s="235"/>
      <c r="F20" s="236"/>
      <c r="G20" s="50"/>
    </row>
    <row r="21" spans="1:7" s="51" customFormat="1">
      <c r="A21" s="53"/>
      <c r="B21" s="53"/>
      <c r="C21" s="153" t="str">
        <f t="shared" si="1"/>
        <v/>
      </c>
      <c r="D21" s="54"/>
      <c r="E21" s="235"/>
      <c r="F21" s="236"/>
      <c r="G21" s="50"/>
    </row>
    <row r="22" spans="1:7" s="51" customFormat="1">
      <c r="A22" s="53"/>
      <c r="B22" s="53"/>
      <c r="C22" s="153" t="str">
        <f t="shared" si="1"/>
        <v/>
      </c>
      <c r="D22" s="54"/>
      <c r="E22" s="235"/>
      <c r="F22" s="236"/>
      <c r="G22" s="50"/>
    </row>
    <row r="23" spans="1:7" s="51" customFormat="1" ht="15" thickBot="1">
      <c r="A23" s="55"/>
      <c r="B23" s="55"/>
      <c r="C23" s="154" t="str">
        <f t="shared" si="1"/>
        <v/>
      </c>
      <c r="D23" s="56"/>
      <c r="E23" s="237"/>
      <c r="F23" s="238"/>
      <c r="G23" s="50"/>
    </row>
    <row r="24" spans="1:7" s="51" customFormat="1" ht="15" thickBot="1">
      <c r="A24" s="161" t="s">
        <v>27</v>
      </c>
      <c r="B24" s="82">
        <f>SUM(B16:B23)</f>
        <v>34</v>
      </c>
      <c r="C24" s="161" t="str">
        <f xml:space="preserve"> setValueToTime(B24)</f>
        <v>2h50min</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18</v>
      </c>
      <c r="C26" s="163"/>
      <c r="D26" s="156" t="s">
        <v>14</v>
      </c>
      <c r="E26" s="157" t="s">
        <v>156</v>
      </c>
      <c r="F26" s="158" t="s">
        <v>75</v>
      </c>
      <c r="G26" s="45"/>
    </row>
    <row r="27" spans="1:7" s="46" customFormat="1" ht="30" customHeight="1" thickBot="1">
      <c r="A27" s="77" t="s">
        <v>4</v>
      </c>
      <c r="B27" s="160" t="s">
        <v>38</v>
      </c>
      <c r="C27" s="159"/>
      <c r="D27" s="77" t="s">
        <v>12</v>
      </c>
      <c r="E27" s="247" t="s">
        <v>13</v>
      </c>
      <c r="F27" s="248"/>
      <c r="G27" s="45"/>
    </row>
    <row r="28" spans="1:7" s="51" customFormat="1">
      <c r="A28" s="47" t="s">
        <v>50</v>
      </c>
      <c r="B28" s="48">
        <v>33</v>
      </c>
      <c r="C28" s="151" t="str">
        <f xml:space="preserve"> IF(B28="","",setValueToTime(B28))</f>
        <v>2h45min</v>
      </c>
      <c r="D28" s="165" t="s">
        <v>163</v>
      </c>
      <c r="E28" s="243"/>
      <c r="F28" s="244"/>
      <c r="G28" s="50"/>
    </row>
    <row r="29" spans="1:7" s="51" customFormat="1">
      <c r="A29" s="52" t="s">
        <v>15</v>
      </c>
      <c r="B29" s="53">
        <v>3</v>
      </c>
      <c r="C29" s="152" t="str">
        <f t="shared" ref="C29:C35" si="2" xml:space="preserve"> IF(B29="","",setValueToTime(B29))</f>
        <v>0h15min</v>
      </c>
      <c r="D29" s="166" t="s">
        <v>106</v>
      </c>
      <c r="E29" s="235"/>
      <c r="F29" s="236"/>
      <c r="G29" s="50"/>
    </row>
    <row r="30" spans="1:7" s="51" customFormat="1">
      <c r="A30" s="52"/>
      <c r="B30" s="53"/>
      <c r="C30" s="152" t="str">
        <f t="shared" si="2"/>
        <v/>
      </c>
      <c r="D30" s="54"/>
      <c r="E30" s="235"/>
      <c r="F30" s="236"/>
      <c r="G30" s="50"/>
    </row>
    <row r="31" spans="1:7" s="51" customFormat="1">
      <c r="A31" s="52"/>
      <c r="B31" s="53"/>
      <c r="C31" s="152" t="str">
        <f t="shared" si="2"/>
        <v/>
      </c>
      <c r="D31" s="54"/>
      <c r="E31" s="235"/>
      <c r="F31" s="236"/>
      <c r="G31" s="50"/>
    </row>
    <row r="32" spans="1:7" s="51" customFormat="1">
      <c r="A32" s="53"/>
      <c r="B32" s="53"/>
      <c r="C32" s="153" t="str">
        <f t="shared" si="2"/>
        <v/>
      </c>
      <c r="D32" s="54"/>
      <c r="E32" s="235"/>
      <c r="F32" s="236"/>
      <c r="G32" s="50"/>
    </row>
    <row r="33" spans="1:7" s="51" customFormat="1">
      <c r="A33" s="53"/>
      <c r="B33" s="53"/>
      <c r="C33" s="153" t="str">
        <f t="shared" si="2"/>
        <v/>
      </c>
      <c r="D33" s="54"/>
      <c r="E33" s="235"/>
      <c r="F33" s="236"/>
      <c r="G33" s="50"/>
    </row>
    <row r="34" spans="1:7" s="51" customFormat="1">
      <c r="A34" s="53"/>
      <c r="B34" s="53"/>
      <c r="C34" s="153" t="str">
        <f t="shared" si="2"/>
        <v/>
      </c>
      <c r="D34" s="54"/>
      <c r="E34" s="235"/>
      <c r="F34" s="236"/>
      <c r="G34" s="50"/>
    </row>
    <row r="35" spans="1:7" s="51" customFormat="1" ht="15" thickBot="1">
      <c r="A35" s="55"/>
      <c r="B35" s="55"/>
      <c r="C35" s="154" t="str">
        <f t="shared" si="2"/>
        <v/>
      </c>
      <c r="D35" s="56"/>
      <c r="E35" s="237"/>
      <c r="F35" s="238"/>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17</v>
      </c>
      <c r="C38" s="163"/>
      <c r="D38" s="156" t="s">
        <v>14</v>
      </c>
      <c r="E38" s="157" t="s">
        <v>156</v>
      </c>
      <c r="F38" s="158" t="s">
        <v>74</v>
      </c>
      <c r="G38" s="45"/>
    </row>
    <row r="39" spans="1:7" s="46" customFormat="1" ht="30" customHeight="1" thickBot="1">
      <c r="A39" s="77" t="s">
        <v>4</v>
      </c>
      <c r="B39" s="160" t="s">
        <v>38</v>
      </c>
      <c r="C39" s="159"/>
      <c r="D39" s="77" t="s">
        <v>12</v>
      </c>
      <c r="E39" s="247" t="s">
        <v>13</v>
      </c>
      <c r="F39" s="248"/>
      <c r="G39" s="45"/>
    </row>
    <row r="40" spans="1:7" s="51" customFormat="1" ht="40.5">
      <c r="A40" s="47" t="s">
        <v>50</v>
      </c>
      <c r="B40" s="48">
        <v>43</v>
      </c>
      <c r="C40" s="151" t="str">
        <f xml:space="preserve"> IF(B40="","",setValueToTime(B40))</f>
        <v>3h35min</v>
      </c>
      <c r="D40" s="165" t="s">
        <v>162</v>
      </c>
      <c r="E40" s="243"/>
      <c r="F40" s="244"/>
      <c r="G40" s="50"/>
    </row>
    <row r="41" spans="1:7" s="51" customFormat="1">
      <c r="A41" s="52" t="s">
        <v>15</v>
      </c>
      <c r="B41" s="53">
        <v>2</v>
      </c>
      <c r="C41" s="152" t="str">
        <f t="shared" ref="C41:C47" si="3" xml:space="preserve"> IF(B41="","",setValueToTime(B41))</f>
        <v>0h10min</v>
      </c>
      <c r="D41" s="166" t="s">
        <v>106</v>
      </c>
      <c r="E41" s="235"/>
      <c r="F41" s="236"/>
      <c r="G41" s="50"/>
    </row>
    <row r="42" spans="1:7" s="51" customFormat="1">
      <c r="A42" s="52"/>
      <c r="B42" s="53"/>
      <c r="C42" s="152" t="str">
        <f t="shared" si="3"/>
        <v/>
      </c>
      <c r="D42" s="54"/>
      <c r="E42" s="235"/>
      <c r="F42" s="236"/>
      <c r="G42" s="50"/>
    </row>
    <row r="43" spans="1:7" s="51" customFormat="1">
      <c r="A43" s="52"/>
      <c r="B43" s="53"/>
      <c r="C43" s="152" t="str">
        <f t="shared" si="3"/>
        <v/>
      </c>
      <c r="D43" s="54"/>
      <c r="E43" s="235"/>
      <c r="F43" s="236"/>
      <c r="G43" s="50"/>
    </row>
    <row r="44" spans="1:7" s="51" customFormat="1">
      <c r="A44" s="53"/>
      <c r="B44" s="53"/>
      <c r="C44" s="153" t="str">
        <f t="shared" si="3"/>
        <v/>
      </c>
      <c r="D44" s="54"/>
      <c r="E44" s="235"/>
      <c r="F44" s="236"/>
      <c r="G44" s="50"/>
    </row>
    <row r="45" spans="1:7" s="51" customFormat="1">
      <c r="A45" s="53"/>
      <c r="B45" s="53"/>
      <c r="C45" s="153" t="str">
        <f t="shared" si="3"/>
        <v/>
      </c>
      <c r="D45" s="54"/>
      <c r="E45" s="235"/>
      <c r="F45" s="236"/>
      <c r="G45" s="50"/>
    </row>
    <row r="46" spans="1:7" s="51" customFormat="1">
      <c r="A46" s="53"/>
      <c r="B46" s="53"/>
      <c r="C46" s="153" t="str">
        <f t="shared" si="3"/>
        <v/>
      </c>
      <c r="D46" s="54"/>
      <c r="E46" s="235"/>
      <c r="F46" s="236"/>
      <c r="G46" s="50"/>
    </row>
    <row r="47" spans="1:7" s="51" customFormat="1" ht="15" thickBot="1">
      <c r="A47" s="55"/>
      <c r="B47" s="55"/>
      <c r="C47" s="154" t="str">
        <f t="shared" si="3"/>
        <v/>
      </c>
      <c r="D47" s="56"/>
      <c r="E47" s="237"/>
      <c r="F47" s="238"/>
      <c r="G47" s="50"/>
    </row>
    <row r="48" spans="1:7" s="51" customFormat="1" ht="27.75" thickBot="1">
      <c r="A48" s="161" t="s">
        <v>27</v>
      </c>
      <c r="B48" s="82">
        <f>SUM(B40:B47)</f>
        <v>45</v>
      </c>
      <c r="C48" s="161" t="str">
        <f xml:space="preserve"> setValueToTime(B48)</f>
        <v>3h45min</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16</v>
      </c>
      <c r="C50" s="163"/>
      <c r="D50" s="156" t="s">
        <v>14</v>
      </c>
      <c r="E50" s="157" t="s">
        <v>146</v>
      </c>
      <c r="F50" s="158" t="s">
        <v>75</v>
      </c>
      <c r="G50" s="45"/>
    </row>
    <row r="51" spans="1:7" s="46" customFormat="1" ht="30" customHeight="1" thickBot="1">
      <c r="A51" s="77" t="s">
        <v>4</v>
      </c>
      <c r="B51" s="160" t="s">
        <v>38</v>
      </c>
      <c r="C51" s="159"/>
      <c r="D51" s="77" t="s">
        <v>12</v>
      </c>
      <c r="E51" s="247" t="s">
        <v>13</v>
      </c>
      <c r="F51" s="248"/>
      <c r="G51" s="45"/>
    </row>
    <row r="52" spans="1:7" s="51" customFormat="1">
      <c r="A52" s="47" t="s">
        <v>50</v>
      </c>
      <c r="B52" s="48">
        <v>33</v>
      </c>
      <c r="C52" s="151" t="str">
        <f xml:space="preserve"> IF(B52="","",setValueToTime(B52))</f>
        <v>2h45min</v>
      </c>
      <c r="D52" s="165" t="s">
        <v>150</v>
      </c>
      <c r="E52" s="243"/>
      <c r="F52" s="244"/>
      <c r="G52" s="50"/>
    </row>
    <row r="53" spans="1:7" s="51" customFormat="1">
      <c r="A53" s="52" t="s">
        <v>15</v>
      </c>
      <c r="B53" s="53">
        <v>3</v>
      </c>
      <c r="C53" s="152" t="str">
        <f t="shared" ref="C53:C59" si="4" xml:space="preserve"> IF(B53="","",setValueToTime(B53))</f>
        <v>0h15min</v>
      </c>
      <c r="D53" s="166" t="s">
        <v>151</v>
      </c>
      <c r="E53" s="235"/>
      <c r="F53" s="236"/>
      <c r="G53" s="50"/>
    </row>
    <row r="54" spans="1:7" s="51" customFormat="1">
      <c r="A54" s="52"/>
      <c r="B54" s="53"/>
      <c r="C54" s="152" t="str">
        <f t="shared" si="4"/>
        <v/>
      </c>
      <c r="D54" s="54"/>
      <c r="E54" s="235"/>
      <c r="F54" s="236"/>
      <c r="G54" s="50"/>
    </row>
    <row r="55" spans="1:7" s="51" customFormat="1">
      <c r="A55" s="52"/>
      <c r="B55" s="53"/>
      <c r="C55" s="152" t="str">
        <f t="shared" si="4"/>
        <v/>
      </c>
      <c r="D55" s="54"/>
      <c r="E55" s="235"/>
      <c r="F55" s="236"/>
      <c r="G55" s="50"/>
    </row>
    <row r="56" spans="1:7" s="51" customFormat="1">
      <c r="A56" s="53"/>
      <c r="B56" s="53"/>
      <c r="C56" s="153" t="str">
        <f t="shared" si="4"/>
        <v/>
      </c>
      <c r="D56" s="54"/>
      <c r="E56" s="235"/>
      <c r="F56" s="236"/>
      <c r="G56" s="50"/>
    </row>
    <row r="57" spans="1:7" s="51" customFormat="1">
      <c r="A57" s="53"/>
      <c r="B57" s="53"/>
      <c r="C57" s="153" t="str">
        <f t="shared" si="4"/>
        <v/>
      </c>
      <c r="D57" s="54"/>
      <c r="E57" s="235"/>
      <c r="F57" s="236"/>
      <c r="G57" s="50"/>
    </row>
    <row r="58" spans="1:7" s="51" customFormat="1">
      <c r="A58" s="53"/>
      <c r="B58" s="53"/>
      <c r="C58" s="153" t="str">
        <f t="shared" si="4"/>
        <v/>
      </c>
      <c r="D58" s="54"/>
      <c r="E58" s="235"/>
      <c r="F58" s="236"/>
      <c r="G58" s="50"/>
    </row>
    <row r="59" spans="1:7" s="51" customFormat="1" ht="15" thickBot="1">
      <c r="A59" s="55"/>
      <c r="B59" s="55"/>
      <c r="C59" s="154" t="str">
        <f t="shared" si="4"/>
        <v/>
      </c>
      <c r="D59" s="56"/>
      <c r="E59" s="237"/>
      <c r="F59" s="238"/>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15</v>
      </c>
      <c r="C62" s="163"/>
      <c r="D62" s="156" t="s">
        <v>14</v>
      </c>
      <c r="E62" s="157" t="s">
        <v>146</v>
      </c>
      <c r="F62" s="158" t="s">
        <v>74</v>
      </c>
      <c r="G62" s="45"/>
    </row>
    <row r="63" spans="1:7" s="46" customFormat="1" ht="30" customHeight="1" thickBot="1">
      <c r="A63" s="77" t="s">
        <v>4</v>
      </c>
      <c r="B63" s="160" t="s">
        <v>38</v>
      </c>
      <c r="C63" s="159"/>
      <c r="D63" s="77" t="s">
        <v>12</v>
      </c>
      <c r="E63" s="247" t="s">
        <v>13</v>
      </c>
      <c r="F63" s="248"/>
      <c r="G63" s="45"/>
    </row>
    <row r="64" spans="1:7" s="51" customFormat="1">
      <c r="A64" s="47" t="s">
        <v>51</v>
      </c>
      <c r="B64" s="48">
        <v>6</v>
      </c>
      <c r="C64" s="151" t="str">
        <f xml:space="preserve"> IF(B64="","",setValueToTime(B64))</f>
        <v>0h30min</v>
      </c>
      <c r="D64" s="165" t="s">
        <v>147</v>
      </c>
      <c r="E64" s="243"/>
      <c r="F64" s="244"/>
      <c r="G64" s="50"/>
    </row>
    <row r="65" spans="1:7" s="51" customFormat="1">
      <c r="A65" s="52" t="s">
        <v>56</v>
      </c>
      <c r="B65" s="53">
        <v>6</v>
      </c>
      <c r="C65" s="152" t="str">
        <f t="shared" ref="C65:C71" si="5" xml:space="preserve"> IF(B65="","",setValueToTime(B65))</f>
        <v>0h30min</v>
      </c>
      <c r="D65" s="166" t="s">
        <v>148</v>
      </c>
      <c r="E65" s="235"/>
      <c r="F65" s="236"/>
      <c r="G65" s="50"/>
    </row>
    <row r="66" spans="1:7" s="51" customFormat="1">
      <c r="A66" s="52" t="s">
        <v>66</v>
      </c>
      <c r="B66" s="53">
        <v>24</v>
      </c>
      <c r="C66" s="152" t="str">
        <f t="shared" si="5"/>
        <v>2h</v>
      </c>
      <c r="D66" s="166" t="s">
        <v>149</v>
      </c>
      <c r="E66" s="235"/>
      <c r="F66" s="236"/>
      <c r="G66" s="50"/>
    </row>
    <row r="67" spans="1:7" s="51" customFormat="1">
      <c r="A67" s="52"/>
      <c r="B67" s="53"/>
      <c r="C67" s="152" t="str">
        <f t="shared" si="5"/>
        <v/>
      </c>
      <c r="D67" s="54"/>
      <c r="E67" s="235"/>
      <c r="F67" s="236"/>
      <c r="G67" s="50"/>
    </row>
    <row r="68" spans="1:7" s="51" customFormat="1">
      <c r="A68" s="53"/>
      <c r="B68" s="53"/>
      <c r="C68" s="153" t="str">
        <f t="shared" si="5"/>
        <v/>
      </c>
      <c r="D68" s="54"/>
      <c r="E68" s="235"/>
      <c r="F68" s="236"/>
      <c r="G68" s="50"/>
    </row>
    <row r="69" spans="1:7" s="51" customFormat="1">
      <c r="A69" s="53"/>
      <c r="B69" s="53"/>
      <c r="C69" s="153" t="str">
        <f t="shared" si="5"/>
        <v/>
      </c>
      <c r="D69" s="54"/>
      <c r="E69" s="235"/>
      <c r="F69" s="236"/>
      <c r="G69" s="50"/>
    </row>
    <row r="70" spans="1:7" s="51" customFormat="1">
      <c r="A70" s="53"/>
      <c r="B70" s="53"/>
      <c r="C70" s="153" t="str">
        <f t="shared" si="5"/>
        <v/>
      </c>
      <c r="D70" s="54"/>
      <c r="E70" s="235"/>
      <c r="F70" s="236"/>
      <c r="G70" s="50"/>
    </row>
    <row r="71" spans="1:7" s="51" customFormat="1" ht="15" thickBot="1">
      <c r="A71" s="55"/>
      <c r="B71" s="55"/>
      <c r="C71" s="154" t="str">
        <f t="shared" si="5"/>
        <v/>
      </c>
      <c r="D71" s="56"/>
      <c r="E71" s="237"/>
      <c r="F71" s="238"/>
      <c r="G71" s="50"/>
    </row>
    <row r="72" spans="1:7" s="51" customFormat="1" ht="15" thickBot="1">
      <c r="A72" s="161" t="s">
        <v>27</v>
      </c>
      <c r="B72" s="82">
        <f>SUM(B64:B71)</f>
        <v>36</v>
      </c>
      <c r="C72" s="161" t="str">
        <f xml:space="preserve"> setValueToTime(B72)</f>
        <v>3h</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14</v>
      </c>
      <c r="C74" s="163"/>
      <c r="D74" s="156" t="s">
        <v>14</v>
      </c>
      <c r="E74" s="157">
        <v>44235</v>
      </c>
      <c r="F74" s="158" t="s">
        <v>86</v>
      </c>
      <c r="G74" s="45"/>
    </row>
    <row r="75" spans="1:7" s="46" customFormat="1" ht="30" customHeight="1" thickBot="1">
      <c r="A75" s="77" t="s">
        <v>4</v>
      </c>
      <c r="B75" s="160" t="s">
        <v>38</v>
      </c>
      <c r="C75" s="159"/>
      <c r="D75" s="77" t="s">
        <v>12</v>
      </c>
      <c r="E75" s="247" t="s">
        <v>13</v>
      </c>
      <c r="F75" s="248"/>
      <c r="G75" s="45"/>
    </row>
    <row r="76" spans="1:7" s="51" customFormat="1">
      <c r="A76" s="47" t="s">
        <v>51</v>
      </c>
      <c r="B76" s="48">
        <v>36</v>
      </c>
      <c r="C76" s="151" t="str">
        <f xml:space="preserve"> IF(B76="","",setValueToTime(B76))</f>
        <v>3h</v>
      </c>
      <c r="D76" s="165" t="s">
        <v>141</v>
      </c>
      <c r="E76" s="243"/>
      <c r="F76" s="244"/>
      <c r="G76" s="50"/>
    </row>
    <row r="77" spans="1:7" s="51" customFormat="1">
      <c r="A77" s="52"/>
      <c r="B77" s="53"/>
      <c r="C77" s="152" t="str">
        <f t="shared" ref="C77:C83" si="6" xml:space="preserve"> IF(B77="","",setValueToTime(B77))</f>
        <v/>
      </c>
      <c r="D77" s="54"/>
      <c r="E77" s="235"/>
      <c r="F77" s="236"/>
      <c r="G77" s="50"/>
    </row>
    <row r="78" spans="1:7" s="51" customFormat="1">
      <c r="A78" s="52"/>
      <c r="B78" s="53"/>
      <c r="C78" s="152" t="str">
        <f t="shared" si="6"/>
        <v/>
      </c>
      <c r="D78" s="54"/>
      <c r="E78" s="235"/>
      <c r="F78" s="236"/>
      <c r="G78" s="50"/>
    </row>
    <row r="79" spans="1:7" s="51" customFormat="1">
      <c r="A79" s="52"/>
      <c r="B79" s="53"/>
      <c r="C79" s="152" t="str">
        <f t="shared" si="6"/>
        <v/>
      </c>
      <c r="D79" s="54"/>
      <c r="E79" s="235"/>
      <c r="F79" s="236"/>
      <c r="G79" s="50"/>
    </row>
    <row r="80" spans="1:7" s="51" customFormat="1">
      <c r="A80" s="53"/>
      <c r="B80" s="53"/>
      <c r="C80" s="153" t="str">
        <f t="shared" si="6"/>
        <v/>
      </c>
      <c r="D80" s="54"/>
      <c r="E80" s="235"/>
      <c r="F80" s="236"/>
      <c r="G80" s="50"/>
    </row>
    <row r="81" spans="1:7" s="51" customFormat="1">
      <c r="A81" s="53"/>
      <c r="B81" s="53"/>
      <c r="C81" s="153" t="str">
        <f t="shared" si="6"/>
        <v/>
      </c>
      <c r="D81" s="54"/>
      <c r="E81" s="235"/>
      <c r="F81" s="236"/>
      <c r="G81" s="50"/>
    </row>
    <row r="82" spans="1:7" s="51" customFormat="1">
      <c r="A82" s="53"/>
      <c r="B82" s="53"/>
      <c r="C82" s="153" t="str">
        <f t="shared" si="6"/>
        <v/>
      </c>
      <c r="D82" s="54"/>
      <c r="E82" s="235"/>
      <c r="F82" s="236"/>
      <c r="G82" s="50"/>
    </row>
    <row r="83" spans="1:7" s="51" customFormat="1" ht="15" thickBot="1">
      <c r="A83" s="55"/>
      <c r="B83" s="55"/>
      <c r="C83" s="154" t="str">
        <f t="shared" si="6"/>
        <v/>
      </c>
      <c r="D83" s="56"/>
      <c r="E83" s="237"/>
      <c r="F83" s="238"/>
      <c r="G83" s="50"/>
    </row>
    <row r="84" spans="1:7" s="51" customFormat="1" ht="15" thickBot="1">
      <c r="A84" s="161" t="s">
        <v>27</v>
      </c>
      <c r="B84" s="82">
        <f>SUM(B76:B83)</f>
        <v>36</v>
      </c>
      <c r="C84" s="161" t="str">
        <f xml:space="preserve"> setValueToTime(B84)</f>
        <v>3h</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13</v>
      </c>
      <c r="C86" s="163"/>
      <c r="D86" s="156" t="s">
        <v>14</v>
      </c>
      <c r="E86" s="157" t="s">
        <v>138</v>
      </c>
      <c r="F86" s="158" t="s">
        <v>75</v>
      </c>
      <c r="G86" s="45"/>
    </row>
    <row r="87" spans="1:7" s="46" customFormat="1" ht="30" customHeight="1" thickBot="1">
      <c r="A87" s="77" t="s">
        <v>4</v>
      </c>
      <c r="B87" s="160" t="s">
        <v>38</v>
      </c>
      <c r="C87" s="159"/>
      <c r="D87" s="77" t="s">
        <v>12</v>
      </c>
      <c r="E87" s="247" t="s">
        <v>13</v>
      </c>
      <c r="F87" s="248"/>
      <c r="G87" s="45"/>
    </row>
    <row r="88" spans="1:7" s="51" customFormat="1" ht="27">
      <c r="A88" s="197" t="s">
        <v>66</v>
      </c>
      <c r="B88" s="48">
        <v>33</v>
      </c>
      <c r="C88" s="151" t="str">
        <f xml:space="preserve"> IF(B88="","",setValueToTime(B88))</f>
        <v>2h45min</v>
      </c>
      <c r="D88" s="165" t="s">
        <v>140</v>
      </c>
      <c r="E88" s="243"/>
      <c r="F88" s="244"/>
      <c r="G88" s="50"/>
    </row>
    <row r="89" spans="1:7" s="51" customFormat="1">
      <c r="A89" s="52" t="s">
        <v>15</v>
      </c>
      <c r="B89" s="53">
        <v>3</v>
      </c>
      <c r="C89" s="152" t="str">
        <f t="shared" ref="C89:C95" si="7" xml:space="preserve"> IF(B89="","",setValueToTime(B89))</f>
        <v>0h15min</v>
      </c>
      <c r="D89" s="166" t="s">
        <v>106</v>
      </c>
      <c r="E89" s="235"/>
      <c r="F89" s="236"/>
      <c r="G89" s="50"/>
    </row>
    <row r="90" spans="1:7" s="51" customFormat="1">
      <c r="A90" s="52"/>
      <c r="B90" s="53"/>
      <c r="C90" s="152" t="str">
        <f t="shared" si="7"/>
        <v/>
      </c>
      <c r="D90" s="54"/>
      <c r="E90" s="235"/>
      <c r="F90" s="236"/>
      <c r="G90" s="50"/>
    </row>
    <row r="91" spans="1:7" s="51" customFormat="1">
      <c r="A91" s="52"/>
      <c r="B91" s="53"/>
      <c r="C91" s="152" t="str">
        <f t="shared" si="7"/>
        <v/>
      </c>
      <c r="D91" s="54"/>
      <c r="E91" s="235"/>
      <c r="F91" s="236"/>
      <c r="G91" s="50"/>
    </row>
    <row r="92" spans="1:7" s="51" customFormat="1">
      <c r="A92" s="53"/>
      <c r="B92" s="53"/>
      <c r="C92" s="153" t="str">
        <f t="shared" si="7"/>
        <v/>
      </c>
      <c r="D92" s="54"/>
      <c r="E92" s="235"/>
      <c r="F92" s="236"/>
      <c r="G92" s="50"/>
    </row>
    <row r="93" spans="1:7" s="51" customFormat="1">
      <c r="A93" s="53"/>
      <c r="B93" s="53"/>
      <c r="C93" s="153" t="str">
        <f t="shared" si="7"/>
        <v/>
      </c>
      <c r="D93" s="54"/>
      <c r="E93" s="235"/>
      <c r="F93" s="236"/>
      <c r="G93" s="50"/>
    </row>
    <row r="94" spans="1:7" s="51" customFormat="1">
      <c r="A94" s="53"/>
      <c r="B94" s="53"/>
      <c r="C94" s="153" t="str">
        <f t="shared" si="7"/>
        <v/>
      </c>
      <c r="D94" s="54"/>
      <c r="E94" s="235"/>
      <c r="F94" s="236"/>
      <c r="G94" s="50"/>
    </row>
    <row r="95" spans="1:7" s="51" customFormat="1" ht="15" thickBot="1">
      <c r="A95" s="55"/>
      <c r="B95" s="55"/>
      <c r="C95" s="154" t="str">
        <f t="shared" si="7"/>
        <v/>
      </c>
      <c r="D95" s="56"/>
      <c r="E95" s="237"/>
      <c r="F95" s="238"/>
      <c r="G95" s="50"/>
    </row>
    <row r="96" spans="1:7" s="51" customFormat="1" ht="15" thickBot="1">
      <c r="A96" s="161" t="s">
        <v>27</v>
      </c>
      <c r="B96" s="82">
        <f>SUM(B88:B95)</f>
        <v>36</v>
      </c>
      <c r="C96" s="161" t="str">
        <f xml:space="preserve"> setValueToTime(B96)</f>
        <v>3h</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12</v>
      </c>
      <c r="C98" s="163"/>
      <c r="D98" s="156" t="s">
        <v>14</v>
      </c>
      <c r="E98" s="157" t="s">
        <v>138</v>
      </c>
      <c r="F98" s="158" t="s">
        <v>74</v>
      </c>
      <c r="G98" s="45"/>
    </row>
    <row r="99" spans="1:7" s="46" customFormat="1" ht="30" customHeight="1" thickBot="1">
      <c r="A99" s="77" t="s">
        <v>4</v>
      </c>
      <c r="B99" s="160" t="s">
        <v>38</v>
      </c>
      <c r="C99" s="159"/>
      <c r="D99" s="77" t="s">
        <v>12</v>
      </c>
      <c r="E99" s="247" t="s">
        <v>13</v>
      </c>
      <c r="F99" s="248"/>
      <c r="G99" s="45"/>
    </row>
    <row r="100" spans="1:7" s="51" customFormat="1" ht="81">
      <c r="A100" s="47" t="s">
        <v>60</v>
      </c>
      <c r="B100" s="48">
        <v>33</v>
      </c>
      <c r="C100" s="151" t="str">
        <f xml:space="preserve"> IF(B100="","",setValueToTime(B100))</f>
        <v>2h45min</v>
      </c>
      <c r="D100" s="165" t="s">
        <v>139</v>
      </c>
      <c r="E100" s="243"/>
      <c r="F100" s="244"/>
      <c r="G100" s="50"/>
    </row>
    <row r="101" spans="1:7" s="51" customFormat="1">
      <c r="A101" s="52" t="s">
        <v>15</v>
      </c>
      <c r="B101" s="53">
        <v>3</v>
      </c>
      <c r="C101" s="152" t="str">
        <f t="shared" ref="C101:C107" si="8" xml:space="preserve"> IF(B101="","",setValueToTime(B101))</f>
        <v>0h15min</v>
      </c>
      <c r="D101" s="166" t="s">
        <v>106</v>
      </c>
      <c r="E101" s="235"/>
      <c r="F101" s="236"/>
      <c r="G101" s="50"/>
    </row>
    <row r="102" spans="1:7" s="51" customFormat="1">
      <c r="A102" s="52"/>
      <c r="B102" s="53"/>
      <c r="C102" s="152" t="str">
        <f t="shared" si="8"/>
        <v/>
      </c>
      <c r="D102" s="54"/>
      <c r="E102" s="235"/>
      <c r="F102" s="236"/>
      <c r="G102" s="50"/>
    </row>
    <row r="103" spans="1:7" s="51" customFormat="1">
      <c r="A103" s="52"/>
      <c r="B103" s="53"/>
      <c r="C103" s="152" t="str">
        <f t="shared" si="8"/>
        <v/>
      </c>
      <c r="D103" s="54"/>
      <c r="E103" s="235"/>
      <c r="F103" s="236"/>
      <c r="G103" s="50"/>
    </row>
    <row r="104" spans="1:7" s="51" customFormat="1">
      <c r="A104" s="53"/>
      <c r="B104" s="53"/>
      <c r="C104" s="153" t="str">
        <f t="shared" si="8"/>
        <v/>
      </c>
      <c r="D104" s="54"/>
      <c r="E104" s="235"/>
      <c r="F104" s="236"/>
      <c r="G104" s="50"/>
    </row>
    <row r="105" spans="1:7" s="51" customFormat="1">
      <c r="A105" s="53"/>
      <c r="B105" s="53"/>
      <c r="C105" s="153" t="str">
        <f t="shared" si="8"/>
        <v/>
      </c>
      <c r="D105" s="54"/>
      <c r="E105" s="235"/>
      <c r="F105" s="236"/>
      <c r="G105" s="50"/>
    </row>
    <row r="106" spans="1:7" s="51" customFormat="1">
      <c r="A106" s="53"/>
      <c r="B106" s="53"/>
      <c r="C106" s="153" t="str">
        <f t="shared" si="8"/>
        <v/>
      </c>
      <c r="D106" s="54"/>
      <c r="E106" s="235"/>
      <c r="F106" s="236"/>
      <c r="G106" s="50"/>
    </row>
    <row r="107" spans="1:7" s="51" customFormat="1" ht="15" thickBot="1">
      <c r="A107" s="55"/>
      <c r="B107" s="55"/>
      <c r="C107" s="154" t="str">
        <f t="shared" si="8"/>
        <v/>
      </c>
      <c r="D107" s="56"/>
      <c r="E107" s="237"/>
      <c r="F107" s="238"/>
      <c r="G107" s="50"/>
    </row>
    <row r="108" spans="1:7" s="51" customFormat="1" ht="15" thickBot="1">
      <c r="A108" s="161" t="s">
        <v>27</v>
      </c>
      <c r="B108" s="82">
        <f>SUM(B100:B107)</f>
        <v>36</v>
      </c>
      <c r="C108" s="161" t="str">
        <f xml:space="preserve"> setValueToTime(B108)</f>
        <v>3h</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11</v>
      </c>
      <c r="C110" s="163"/>
      <c r="D110" s="156" t="s">
        <v>14</v>
      </c>
      <c r="E110" s="157" t="s">
        <v>135</v>
      </c>
      <c r="F110" s="158" t="s">
        <v>75</v>
      </c>
      <c r="G110" s="45"/>
    </row>
    <row r="111" spans="1:7" s="46" customFormat="1" ht="30" customHeight="1" thickBot="1">
      <c r="A111" s="77" t="s">
        <v>4</v>
      </c>
      <c r="B111" s="160" t="s">
        <v>38</v>
      </c>
      <c r="C111" s="159"/>
      <c r="D111" s="77" t="s">
        <v>12</v>
      </c>
      <c r="E111" s="247" t="s">
        <v>13</v>
      </c>
      <c r="F111" s="248"/>
      <c r="G111" s="45"/>
    </row>
    <row r="112" spans="1:7" s="51" customFormat="1" ht="54">
      <c r="A112" s="47" t="s">
        <v>60</v>
      </c>
      <c r="B112" s="48">
        <v>33</v>
      </c>
      <c r="C112" s="151" t="str">
        <f xml:space="preserve"> IF(B112="","",setValueToTime(B112))</f>
        <v>2h45min</v>
      </c>
      <c r="D112" s="165" t="s">
        <v>137</v>
      </c>
      <c r="E112" s="243"/>
      <c r="F112" s="244"/>
      <c r="G112" s="50"/>
    </row>
    <row r="113" spans="1:7" s="51" customFormat="1">
      <c r="A113" s="52" t="s">
        <v>15</v>
      </c>
      <c r="B113" s="53">
        <v>3</v>
      </c>
      <c r="C113" s="152" t="str">
        <f t="shared" ref="C113:C119" si="9" xml:space="preserve"> IF(B113="","",setValueToTime(B113))</f>
        <v>0h15min</v>
      </c>
      <c r="D113" s="166" t="s">
        <v>106</v>
      </c>
      <c r="E113" s="235"/>
      <c r="F113" s="236"/>
      <c r="G113" s="50"/>
    </row>
    <row r="114" spans="1:7" s="51" customFormat="1">
      <c r="A114" s="52"/>
      <c r="B114" s="53"/>
      <c r="C114" s="152" t="str">
        <f t="shared" si="9"/>
        <v/>
      </c>
      <c r="D114" s="54"/>
      <c r="E114" s="235"/>
      <c r="F114" s="236"/>
      <c r="G114" s="50"/>
    </row>
    <row r="115" spans="1:7" s="51" customFormat="1">
      <c r="A115" s="52"/>
      <c r="B115" s="53"/>
      <c r="C115" s="152" t="str">
        <f t="shared" si="9"/>
        <v/>
      </c>
      <c r="D115" s="54"/>
      <c r="E115" s="235"/>
      <c r="F115" s="236"/>
      <c r="G115" s="50"/>
    </row>
    <row r="116" spans="1:7" s="51" customFormat="1">
      <c r="A116" s="53"/>
      <c r="B116" s="53"/>
      <c r="C116" s="153" t="str">
        <f t="shared" si="9"/>
        <v/>
      </c>
      <c r="D116" s="54"/>
      <c r="E116" s="235"/>
      <c r="F116" s="236"/>
      <c r="G116" s="50"/>
    </row>
    <row r="117" spans="1:7" s="51" customFormat="1">
      <c r="A117" s="53"/>
      <c r="B117" s="53"/>
      <c r="C117" s="153" t="str">
        <f t="shared" si="9"/>
        <v/>
      </c>
      <c r="D117" s="54"/>
      <c r="E117" s="235"/>
      <c r="F117" s="236"/>
      <c r="G117" s="50"/>
    </row>
    <row r="118" spans="1:7" s="51" customFormat="1">
      <c r="A118" s="53"/>
      <c r="B118" s="53"/>
      <c r="C118" s="153" t="str">
        <f t="shared" si="9"/>
        <v/>
      </c>
      <c r="D118" s="54"/>
      <c r="E118" s="235"/>
      <c r="F118" s="236"/>
      <c r="G118" s="50"/>
    </row>
    <row r="119" spans="1:7" s="51" customFormat="1" ht="15" thickBot="1">
      <c r="A119" s="55"/>
      <c r="B119" s="55"/>
      <c r="C119" s="154" t="str">
        <f t="shared" si="9"/>
        <v/>
      </c>
      <c r="D119" s="56"/>
      <c r="E119" s="237"/>
      <c r="F119" s="238"/>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10</v>
      </c>
      <c r="C122" s="163"/>
      <c r="D122" s="156" t="s">
        <v>14</v>
      </c>
      <c r="E122" s="157" t="s">
        <v>135</v>
      </c>
      <c r="F122" s="158" t="s">
        <v>74</v>
      </c>
      <c r="G122" s="45"/>
    </row>
    <row r="123" spans="1:7" s="46" customFormat="1" ht="30" customHeight="1" thickBot="1">
      <c r="A123" s="77" t="s">
        <v>4</v>
      </c>
      <c r="B123" s="160" t="s">
        <v>38</v>
      </c>
      <c r="C123" s="159"/>
      <c r="D123" s="77" t="s">
        <v>12</v>
      </c>
      <c r="E123" s="247" t="s">
        <v>13</v>
      </c>
      <c r="F123" s="248"/>
      <c r="G123" s="45"/>
    </row>
    <row r="124" spans="1:7" s="51" customFormat="1" ht="40.5">
      <c r="A124" s="47" t="s">
        <v>59</v>
      </c>
      <c r="B124" s="48">
        <v>42</v>
      </c>
      <c r="C124" s="151" t="str">
        <f xml:space="preserve"> IF(B124="","",setValueToTime(B124))</f>
        <v>3h30min</v>
      </c>
      <c r="D124" s="165" t="s">
        <v>136</v>
      </c>
      <c r="E124" s="243"/>
      <c r="F124" s="244"/>
      <c r="G124" s="50"/>
    </row>
    <row r="125" spans="1:7" s="51" customFormat="1">
      <c r="A125" s="52" t="s">
        <v>15</v>
      </c>
      <c r="B125" s="53">
        <v>3</v>
      </c>
      <c r="C125" s="152" t="str">
        <f t="shared" ref="C125:C131" si="10" xml:space="preserve"> IF(B125="","",setValueToTime(B125))</f>
        <v>0h15min</v>
      </c>
      <c r="D125" s="166" t="s">
        <v>106</v>
      </c>
      <c r="E125" s="235"/>
      <c r="F125" s="236"/>
      <c r="G125" s="50"/>
    </row>
    <row r="126" spans="1:7" s="51" customFormat="1">
      <c r="A126" s="52"/>
      <c r="B126" s="53"/>
      <c r="C126" s="152" t="str">
        <f t="shared" si="10"/>
        <v/>
      </c>
      <c r="D126" s="54"/>
      <c r="E126" s="235"/>
      <c r="F126" s="236"/>
      <c r="G126" s="50"/>
    </row>
    <row r="127" spans="1:7" s="51" customFormat="1">
      <c r="A127" s="52"/>
      <c r="B127" s="53"/>
      <c r="C127" s="152" t="str">
        <f t="shared" si="10"/>
        <v/>
      </c>
      <c r="D127" s="54"/>
      <c r="E127" s="235"/>
      <c r="F127" s="236"/>
      <c r="G127" s="50"/>
    </row>
    <row r="128" spans="1:7" s="51" customFormat="1">
      <c r="A128" s="53"/>
      <c r="B128" s="53"/>
      <c r="C128" s="153" t="str">
        <f t="shared" si="10"/>
        <v/>
      </c>
      <c r="D128" s="54"/>
      <c r="E128" s="235"/>
      <c r="F128" s="236"/>
      <c r="G128" s="50"/>
    </row>
    <row r="129" spans="1:7" s="51" customFormat="1">
      <c r="A129" s="53"/>
      <c r="B129" s="53"/>
      <c r="C129" s="153" t="str">
        <f t="shared" si="10"/>
        <v/>
      </c>
      <c r="D129" s="54"/>
      <c r="E129" s="235"/>
      <c r="F129" s="236"/>
      <c r="G129" s="50"/>
    </row>
    <row r="130" spans="1:7" s="51" customFormat="1">
      <c r="A130" s="53"/>
      <c r="B130" s="53"/>
      <c r="C130" s="153" t="str">
        <f t="shared" si="10"/>
        <v/>
      </c>
      <c r="D130" s="54"/>
      <c r="E130" s="235"/>
      <c r="F130" s="236"/>
      <c r="G130" s="50"/>
    </row>
    <row r="131" spans="1:7" s="51" customFormat="1" ht="15" thickBot="1">
      <c r="A131" s="55"/>
      <c r="B131" s="55"/>
      <c r="C131" s="154" t="str">
        <f t="shared" si="10"/>
        <v/>
      </c>
      <c r="D131" s="56"/>
      <c r="E131" s="237"/>
      <c r="F131" s="238"/>
      <c r="G131" s="50"/>
    </row>
    <row r="132" spans="1:7" s="51" customFormat="1" ht="27.75" thickBot="1">
      <c r="A132" s="161" t="s">
        <v>27</v>
      </c>
      <c r="B132" s="82">
        <f>SUM(B124:B131)</f>
        <v>45</v>
      </c>
      <c r="C132" s="161" t="str">
        <f xml:space="preserve"> setValueToTime(B132)</f>
        <v>3h45min</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9</v>
      </c>
      <c r="C134" s="163"/>
      <c r="D134" s="156" t="s">
        <v>14</v>
      </c>
      <c r="E134" s="157" t="s">
        <v>126</v>
      </c>
      <c r="F134" s="158" t="s">
        <v>75</v>
      </c>
      <c r="G134" s="45"/>
    </row>
    <row r="135" spans="1:7" s="46" customFormat="1" ht="30" customHeight="1" thickBot="1">
      <c r="A135" s="77" t="s">
        <v>4</v>
      </c>
      <c r="B135" s="160" t="s">
        <v>38</v>
      </c>
      <c r="C135" s="159"/>
      <c r="D135" s="77" t="s">
        <v>12</v>
      </c>
      <c r="E135" s="247" t="s">
        <v>13</v>
      </c>
      <c r="F135" s="248"/>
      <c r="G135" s="45"/>
    </row>
    <row r="136" spans="1:7" s="51" customFormat="1" ht="27">
      <c r="A136" s="47" t="s">
        <v>59</v>
      </c>
      <c r="B136" s="48">
        <v>33</v>
      </c>
      <c r="C136" s="151" t="str">
        <f xml:space="preserve"> IF(B136="","",setValueToTime(B136))</f>
        <v>2h45min</v>
      </c>
      <c r="D136" s="165" t="s">
        <v>134</v>
      </c>
      <c r="E136" s="243"/>
      <c r="F136" s="244"/>
      <c r="G136" s="50"/>
    </row>
    <row r="137" spans="1:7" s="51" customFormat="1">
      <c r="A137" s="52" t="s">
        <v>15</v>
      </c>
      <c r="B137" s="53">
        <v>3</v>
      </c>
      <c r="C137" s="152" t="str">
        <f t="shared" ref="C137:C143" si="11" xml:space="preserve"> IF(B137="","",setValueToTime(B137))</f>
        <v>0h15min</v>
      </c>
      <c r="D137" s="166" t="s">
        <v>106</v>
      </c>
      <c r="E137" s="235"/>
      <c r="F137" s="236"/>
      <c r="G137" s="50"/>
    </row>
    <row r="138" spans="1:7" s="51" customFormat="1">
      <c r="A138" s="52"/>
      <c r="B138" s="53"/>
      <c r="C138" s="152" t="str">
        <f t="shared" si="11"/>
        <v/>
      </c>
      <c r="D138" s="54"/>
      <c r="E138" s="235"/>
      <c r="F138" s="236"/>
      <c r="G138" s="50"/>
    </row>
    <row r="139" spans="1:7" s="51" customFormat="1">
      <c r="A139" s="52"/>
      <c r="B139" s="53"/>
      <c r="C139" s="152" t="str">
        <f t="shared" si="11"/>
        <v/>
      </c>
      <c r="D139" s="54"/>
      <c r="E139" s="235"/>
      <c r="F139" s="236"/>
      <c r="G139" s="50"/>
    </row>
    <row r="140" spans="1:7" s="51" customFormat="1">
      <c r="A140" s="53"/>
      <c r="B140" s="53"/>
      <c r="C140" s="153" t="str">
        <f t="shared" si="11"/>
        <v/>
      </c>
      <c r="D140" s="54"/>
      <c r="E140" s="235"/>
      <c r="F140" s="236"/>
      <c r="G140" s="50"/>
    </row>
    <row r="141" spans="1:7" s="51" customFormat="1">
      <c r="A141" s="53"/>
      <c r="B141" s="53"/>
      <c r="C141" s="153" t="str">
        <f t="shared" si="11"/>
        <v/>
      </c>
      <c r="D141" s="54"/>
      <c r="E141" s="235"/>
      <c r="F141" s="236"/>
      <c r="G141" s="50"/>
    </row>
    <row r="142" spans="1:7" s="51" customFormat="1">
      <c r="A142" s="53"/>
      <c r="B142" s="53"/>
      <c r="C142" s="153" t="str">
        <f t="shared" si="11"/>
        <v/>
      </c>
      <c r="D142" s="54"/>
      <c r="E142" s="235"/>
      <c r="F142" s="236"/>
      <c r="G142" s="50"/>
    </row>
    <row r="143" spans="1:7" s="51" customFormat="1" ht="15" thickBot="1">
      <c r="A143" s="55"/>
      <c r="B143" s="55"/>
      <c r="C143" s="154" t="str">
        <f t="shared" si="11"/>
        <v/>
      </c>
      <c r="D143" s="56"/>
      <c r="E143" s="237"/>
      <c r="F143" s="238"/>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8</v>
      </c>
      <c r="C146" s="163"/>
      <c r="D146" s="156" t="s">
        <v>14</v>
      </c>
      <c r="E146" s="157" t="s">
        <v>126</v>
      </c>
      <c r="F146" s="158" t="s">
        <v>74</v>
      </c>
      <c r="G146" s="45"/>
    </row>
    <row r="147" spans="1:7" s="46" customFormat="1" ht="30" customHeight="1" thickBot="1">
      <c r="A147" s="77" t="s">
        <v>4</v>
      </c>
      <c r="B147" s="160" t="s">
        <v>38</v>
      </c>
      <c r="C147" s="159"/>
      <c r="D147" s="77" t="s">
        <v>12</v>
      </c>
      <c r="E147" s="247" t="s">
        <v>13</v>
      </c>
      <c r="F147" s="248"/>
      <c r="G147" s="45"/>
    </row>
    <row r="148" spans="1:7" s="51" customFormat="1" ht="27">
      <c r="A148" s="47" t="s">
        <v>118</v>
      </c>
      <c r="B148" s="48">
        <v>12</v>
      </c>
      <c r="C148" s="151" t="str">
        <f xml:space="preserve"> IF(B148="","",setValueToTime(B148))</f>
        <v>1h</v>
      </c>
      <c r="D148" s="165" t="s">
        <v>131</v>
      </c>
      <c r="E148" s="243"/>
      <c r="F148" s="244"/>
      <c r="G148" s="50"/>
    </row>
    <row r="149" spans="1:7" s="51" customFormat="1" ht="27">
      <c r="A149" s="52" t="s">
        <v>66</v>
      </c>
      <c r="B149" s="53">
        <v>12</v>
      </c>
      <c r="C149" s="152" t="str">
        <f t="shared" ref="C149:C155" si="12" xml:space="preserve"> IF(B149="","",setValueToTime(B149))</f>
        <v>1h</v>
      </c>
      <c r="D149" s="166" t="s">
        <v>132</v>
      </c>
      <c r="E149" s="235"/>
      <c r="F149" s="236"/>
      <c r="G149" s="50"/>
    </row>
    <row r="150" spans="1:7" s="51" customFormat="1">
      <c r="A150" s="52" t="s">
        <v>59</v>
      </c>
      <c r="B150" s="53">
        <v>21</v>
      </c>
      <c r="C150" s="152" t="str">
        <f t="shared" si="12"/>
        <v>1h45min</v>
      </c>
      <c r="D150" s="166" t="s">
        <v>133</v>
      </c>
      <c r="E150" s="235"/>
      <c r="F150" s="236"/>
      <c r="G150" s="50"/>
    </row>
    <row r="151" spans="1:7" s="51" customFormat="1">
      <c r="A151" s="52"/>
      <c r="B151" s="53"/>
      <c r="C151" s="152" t="str">
        <f t="shared" si="12"/>
        <v/>
      </c>
      <c r="D151" s="54"/>
      <c r="E151" s="235"/>
      <c r="F151" s="236"/>
      <c r="G151" s="50"/>
    </row>
    <row r="152" spans="1:7" s="51" customFormat="1">
      <c r="A152" s="53"/>
      <c r="B152" s="53"/>
      <c r="C152" s="153" t="str">
        <f t="shared" si="12"/>
        <v/>
      </c>
      <c r="D152" s="54"/>
      <c r="E152" s="235"/>
      <c r="F152" s="236"/>
      <c r="G152" s="50"/>
    </row>
    <row r="153" spans="1:7" s="51" customFormat="1">
      <c r="A153" s="53"/>
      <c r="B153" s="53"/>
      <c r="C153" s="153" t="str">
        <f t="shared" si="12"/>
        <v/>
      </c>
      <c r="D153" s="54"/>
      <c r="E153" s="235"/>
      <c r="F153" s="236"/>
      <c r="G153" s="50"/>
    </row>
    <row r="154" spans="1:7" s="51" customFormat="1">
      <c r="A154" s="53"/>
      <c r="B154" s="53"/>
      <c r="C154" s="153" t="str">
        <f t="shared" si="12"/>
        <v/>
      </c>
      <c r="D154" s="54"/>
      <c r="E154" s="235"/>
      <c r="F154" s="236"/>
      <c r="G154" s="50"/>
    </row>
    <row r="155" spans="1:7" s="51" customFormat="1" ht="15" thickBot="1">
      <c r="A155" s="55"/>
      <c r="B155" s="55"/>
      <c r="C155" s="154" t="str">
        <f t="shared" si="12"/>
        <v/>
      </c>
      <c r="D155" s="56"/>
      <c r="E155" s="237"/>
      <c r="F155" s="238"/>
      <c r="G155" s="50"/>
    </row>
    <row r="156" spans="1:7" s="51" customFormat="1" ht="27.75" thickBot="1">
      <c r="A156" s="161" t="s">
        <v>27</v>
      </c>
      <c r="B156" s="82">
        <f>SUM(B148:B155)</f>
        <v>45</v>
      </c>
      <c r="C156" s="161" t="str">
        <f xml:space="preserve"> setValueToTime(B156)</f>
        <v>3h45min</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7</v>
      </c>
      <c r="C158" s="163"/>
      <c r="D158" s="156" t="s">
        <v>14</v>
      </c>
      <c r="E158" s="157" t="s">
        <v>125</v>
      </c>
      <c r="F158" s="158" t="s">
        <v>74</v>
      </c>
      <c r="G158" s="45"/>
    </row>
    <row r="159" spans="1:7" s="46" customFormat="1" ht="30" customHeight="1" thickBot="1">
      <c r="A159" s="77" t="s">
        <v>4</v>
      </c>
      <c r="B159" s="160" t="s">
        <v>38</v>
      </c>
      <c r="C159" s="159"/>
      <c r="D159" s="77" t="s">
        <v>12</v>
      </c>
      <c r="E159" s="247" t="s">
        <v>13</v>
      </c>
      <c r="F159" s="248"/>
      <c r="G159" s="45"/>
    </row>
    <row r="160" spans="1:7" s="51" customFormat="1">
      <c r="A160" s="47" t="s">
        <v>51</v>
      </c>
      <c r="B160" s="48">
        <v>6</v>
      </c>
      <c r="C160" s="151" t="str">
        <f xml:space="preserve"> IF(B160="","",setValueToTime(B160))</f>
        <v>0h30min</v>
      </c>
      <c r="D160" s="165" t="s">
        <v>127</v>
      </c>
      <c r="E160" s="243"/>
      <c r="F160" s="244"/>
      <c r="G160" s="50"/>
    </row>
    <row r="161" spans="1:7" s="51" customFormat="1" ht="27">
      <c r="A161" s="52" t="s">
        <v>65</v>
      </c>
      <c r="B161" s="53">
        <v>12</v>
      </c>
      <c r="C161" s="152" t="str">
        <f t="shared" ref="C161:C167" si="13" xml:space="preserve"> IF(B161="","",setValueToTime(B161))</f>
        <v>1h</v>
      </c>
      <c r="D161" s="166" t="s">
        <v>128</v>
      </c>
      <c r="E161" s="235"/>
      <c r="F161" s="236"/>
      <c r="G161" s="50"/>
    </row>
    <row r="162" spans="1:7" s="51" customFormat="1">
      <c r="A162" s="52" t="s">
        <v>56</v>
      </c>
      <c r="B162" s="53">
        <v>6</v>
      </c>
      <c r="C162" s="152" t="str">
        <f t="shared" si="13"/>
        <v>0h30min</v>
      </c>
      <c r="D162" s="166" t="s">
        <v>129</v>
      </c>
      <c r="E162" s="235"/>
      <c r="F162" s="236"/>
      <c r="G162" s="50"/>
    </row>
    <row r="163" spans="1:7" s="51" customFormat="1" ht="27">
      <c r="A163" s="52" t="s">
        <v>58</v>
      </c>
      <c r="B163" s="53">
        <v>12</v>
      </c>
      <c r="C163" s="152" t="str">
        <f t="shared" si="13"/>
        <v>1h</v>
      </c>
      <c r="D163" s="166" t="s">
        <v>130</v>
      </c>
      <c r="E163" s="235"/>
      <c r="F163" s="236"/>
      <c r="G163" s="50"/>
    </row>
    <row r="164" spans="1:7" s="51" customFormat="1">
      <c r="A164" s="53"/>
      <c r="B164" s="53"/>
      <c r="C164" s="153" t="str">
        <f t="shared" si="13"/>
        <v/>
      </c>
      <c r="D164" s="54"/>
      <c r="E164" s="235"/>
      <c r="F164" s="236"/>
      <c r="G164" s="50"/>
    </row>
    <row r="165" spans="1:7" s="51" customFormat="1">
      <c r="A165" s="53"/>
      <c r="B165" s="53"/>
      <c r="C165" s="153" t="str">
        <f t="shared" si="13"/>
        <v/>
      </c>
      <c r="D165" s="54"/>
      <c r="E165" s="235"/>
      <c r="F165" s="236"/>
      <c r="G165" s="50"/>
    </row>
    <row r="166" spans="1:7" s="51" customFormat="1">
      <c r="A166" s="53"/>
      <c r="B166" s="53"/>
      <c r="C166" s="153" t="str">
        <f t="shared" si="13"/>
        <v/>
      </c>
      <c r="D166" s="54"/>
      <c r="E166" s="235"/>
      <c r="F166" s="236"/>
      <c r="G166" s="50"/>
    </row>
    <row r="167" spans="1:7" s="51" customFormat="1" ht="15" thickBot="1">
      <c r="A167" s="55"/>
      <c r="B167" s="55"/>
      <c r="C167" s="154" t="str">
        <f t="shared" si="13"/>
        <v/>
      </c>
      <c r="D167" s="56"/>
      <c r="E167" s="237"/>
      <c r="F167" s="238"/>
      <c r="G167" s="50"/>
    </row>
    <row r="168" spans="1:7" s="51" customFormat="1" ht="15" thickBot="1">
      <c r="A168" s="161" t="s">
        <v>27</v>
      </c>
      <c r="B168" s="82">
        <f>SUM(B160:B167)</f>
        <v>36</v>
      </c>
      <c r="C168" s="161" t="str">
        <f xml:space="preserve"> setValueToTime(B168)</f>
        <v>3h</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6</v>
      </c>
      <c r="C170" s="163"/>
      <c r="D170" s="156" t="s">
        <v>14</v>
      </c>
      <c r="E170" s="157" t="s">
        <v>104</v>
      </c>
      <c r="F170" s="158" t="s">
        <v>91</v>
      </c>
      <c r="G170" s="45"/>
    </row>
    <row r="171" spans="1:7" s="46" customFormat="1" ht="30" customHeight="1" thickBot="1">
      <c r="A171" s="77" t="s">
        <v>4</v>
      </c>
      <c r="B171" s="160" t="s">
        <v>38</v>
      </c>
      <c r="C171" s="159"/>
      <c r="D171" s="77" t="s">
        <v>12</v>
      </c>
      <c r="E171" s="247" t="s">
        <v>13</v>
      </c>
      <c r="F171" s="248"/>
      <c r="G171" s="45"/>
    </row>
    <row r="172" spans="1:7" s="51" customFormat="1" ht="81">
      <c r="A172" s="47" t="s">
        <v>57</v>
      </c>
      <c r="B172" s="48">
        <v>24</v>
      </c>
      <c r="C172" s="151" t="str">
        <f xml:space="preserve"> IF(B172="","",setValueToTime(B172))</f>
        <v>2h</v>
      </c>
      <c r="D172" s="165" t="s">
        <v>107</v>
      </c>
      <c r="E172" s="243"/>
      <c r="F172" s="244"/>
      <c r="G172" s="50"/>
    </row>
    <row r="173" spans="1:7" s="51" customFormat="1" ht="27">
      <c r="A173" s="52" t="s">
        <v>66</v>
      </c>
      <c r="B173" s="53">
        <v>9</v>
      </c>
      <c r="C173" s="152" t="str">
        <f t="shared" ref="C173:C179" si="14" xml:space="preserve"> IF(B173="","",setValueToTime(B173))</f>
        <v>0h45min</v>
      </c>
      <c r="D173" s="166" t="s">
        <v>108</v>
      </c>
      <c r="E173" s="235"/>
      <c r="F173" s="236"/>
      <c r="G173" s="50"/>
    </row>
    <row r="174" spans="1:7" s="51" customFormat="1">
      <c r="A174" s="52" t="s">
        <v>15</v>
      </c>
      <c r="B174" s="53">
        <v>3</v>
      </c>
      <c r="C174" s="152" t="str">
        <f t="shared" si="14"/>
        <v>0h15min</v>
      </c>
      <c r="D174" s="166" t="s">
        <v>106</v>
      </c>
      <c r="E174" s="235"/>
      <c r="F174" s="236"/>
      <c r="G174" s="50"/>
    </row>
    <row r="175" spans="1:7" s="51" customFormat="1">
      <c r="A175" s="52"/>
      <c r="B175" s="53"/>
      <c r="C175" s="152" t="str">
        <f t="shared" si="14"/>
        <v/>
      </c>
      <c r="D175" s="54"/>
      <c r="E175" s="235"/>
      <c r="F175" s="236"/>
      <c r="G175" s="50"/>
    </row>
    <row r="176" spans="1:7" s="51" customFormat="1">
      <c r="A176" s="53"/>
      <c r="B176" s="53"/>
      <c r="C176" s="153" t="str">
        <f t="shared" si="14"/>
        <v/>
      </c>
      <c r="D176" s="54"/>
      <c r="E176" s="235"/>
      <c r="F176" s="236"/>
      <c r="G176" s="50"/>
    </row>
    <row r="177" spans="1:7" s="51" customFormat="1">
      <c r="A177" s="53"/>
      <c r="B177" s="53"/>
      <c r="C177" s="153" t="str">
        <f t="shared" si="14"/>
        <v/>
      </c>
      <c r="D177" s="54"/>
      <c r="E177" s="235"/>
      <c r="F177" s="236"/>
      <c r="G177" s="50"/>
    </row>
    <row r="178" spans="1:7" s="51" customFormat="1">
      <c r="A178" s="53"/>
      <c r="B178" s="53"/>
      <c r="C178" s="153" t="str">
        <f t="shared" si="14"/>
        <v/>
      </c>
      <c r="D178" s="54"/>
      <c r="E178" s="235"/>
      <c r="F178" s="236"/>
      <c r="G178" s="50"/>
    </row>
    <row r="179" spans="1:7" s="51" customFormat="1" ht="15" thickBot="1">
      <c r="A179" s="55"/>
      <c r="B179" s="55"/>
      <c r="C179" s="154" t="str">
        <f t="shared" si="14"/>
        <v/>
      </c>
      <c r="D179" s="56"/>
      <c r="E179" s="237"/>
      <c r="F179" s="238"/>
      <c r="G179" s="50"/>
    </row>
    <row r="180" spans="1:7" s="51" customFormat="1" ht="15" thickBot="1">
      <c r="A180" s="161" t="s">
        <v>27</v>
      </c>
      <c r="B180" s="82">
        <f>SUM(B172:B179)</f>
        <v>36</v>
      </c>
      <c r="C180" s="161" t="str">
        <f xml:space="preserve"> setValueToTime(B180)</f>
        <v>3h</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5</v>
      </c>
      <c r="C182" s="163"/>
      <c r="D182" s="156" t="s">
        <v>14</v>
      </c>
      <c r="E182" s="157" t="s">
        <v>104</v>
      </c>
      <c r="F182" s="158" t="s">
        <v>86</v>
      </c>
      <c r="G182" s="45"/>
    </row>
    <row r="183" spans="1:7" s="46" customFormat="1" ht="30" customHeight="1" thickBot="1">
      <c r="A183" s="77" t="s">
        <v>4</v>
      </c>
      <c r="B183" s="160" t="s">
        <v>38</v>
      </c>
      <c r="C183" s="159"/>
      <c r="D183" s="77" t="s">
        <v>12</v>
      </c>
      <c r="E183" s="247" t="s">
        <v>13</v>
      </c>
      <c r="F183" s="248"/>
      <c r="G183" s="45"/>
    </row>
    <row r="184" spans="1:7" s="51" customFormat="1" ht="148.5">
      <c r="A184" s="47" t="s">
        <v>58</v>
      </c>
      <c r="B184" s="48">
        <v>33</v>
      </c>
      <c r="C184" s="151" t="str">
        <f xml:space="preserve"> IF(B184="","",setValueToTime(B184))</f>
        <v>2h45min</v>
      </c>
      <c r="D184" s="165" t="s">
        <v>105</v>
      </c>
      <c r="E184" s="243"/>
      <c r="F184" s="244"/>
      <c r="G184" s="50"/>
    </row>
    <row r="185" spans="1:7" s="51" customFormat="1">
      <c r="A185" s="52" t="s">
        <v>15</v>
      </c>
      <c r="B185" s="53">
        <v>3</v>
      </c>
      <c r="C185" s="152" t="str">
        <f t="shared" ref="C185:C191" si="15" xml:space="preserve"> IF(B185="","",setValueToTime(B185))</f>
        <v>0h15min</v>
      </c>
      <c r="D185" s="166" t="s">
        <v>106</v>
      </c>
      <c r="E185" s="235"/>
      <c r="F185" s="236"/>
      <c r="G185" s="50"/>
    </row>
    <row r="186" spans="1:7" s="51" customFormat="1">
      <c r="A186" s="52"/>
      <c r="B186" s="53"/>
      <c r="C186" s="152" t="str">
        <f t="shared" si="15"/>
        <v/>
      </c>
      <c r="D186" s="54"/>
      <c r="E186" s="235"/>
      <c r="F186" s="236"/>
      <c r="G186" s="50"/>
    </row>
    <row r="187" spans="1:7" s="51" customFormat="1">
      <c r="A187" s="52"/>
      <c r="B187" s="53"/>
      <c r="C187" s="152" t="str">
        <f t="shared" si="15"/>
        <v/>
      </c>
      <c r="D187" s="54"/>
      <c r="E187" s="235"/>
      <c r="F187" s="236"/>
      <c r="G187" s="50"/>
    </row>
    <row r="188" spans="1:7" s="51" customFormat="1">
      <c r="A188" s="53"/>
      <c r="B188" s="53"/>
      <c r="C188" s="153" t="str">
        <f t="shared" si="15"/>
        <v/>
      </c>
      <c r="D188" s="54"/>
      <c r="E188" s="235"/>
      <c r="F188" s="236"/>
      <c r="G188" s="50"/>
    </row>
    <row r="189" spans="1:7" s="51" customFormat="1">
      <c r="A189" s="53"/>
      <c r="B189" s="53"/>
      <c r="C189" s="153" t="str">
        <f t="shared" si="15"/>
        <v/>
      </c>
      <c r="D189" s="54"/>
      <c r="E189" s="235"/>
      <c r="F189" s="236"/>
      <c r="G189" s="50"/>
    </row>
    <row r="190" spans="1:7" s="51" customFormat="1">
      <c r="A190" s="53"/>
      <c r="B190" s="53"/>
      <c r="C190" s="153" t="str">
        <f t="shared" si="15"/>
        <v/>
      </c>
      <c r="D190" s="54"/>
      <c r="E190" s="235"/>
      <c r="F190" s="236"/>
      <c r="G190" s="50"/>
    </row>
    <row r="191" spans="1:7" s="51" customFormat="1" ht="15" thickBot="1">
      <c r="A191" s="55"/>
      <c r="B191" s="55"/>
      <c r="C191" s="154" t="str">
        <f t="shared" si="15"/>
        <v/>
      </c>
      <c r="D191" s="56"/>
      <c r="E191" s="237"/>
      <c r="F191" s="238"/>
      <c r="G191" s="50"/>
    </row>
    <row r="192" spans="1:7" s="51" customFormat="1" ht="15" thickBot="1">
      <c r="A192" s="161" t="s">
        <v>27</v>
      </c>
      <c r="B192" s="82">
        <f>SUM(B184:B191)</f>
        <v>36</v>
      </c>
      <c r="C192" s="161" t="str">
        <f xml:space="preserve"> setValueToTime(B192)</f>
        <v>3h</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4</v>
      </c>
      <c r="C194" s="163"/>
      <c r="D194" s="156" t="s">
        <v>14</v>
      </c>
      <c r="E194" s="157" t="s">
        <v>97</v>
      </c>
      <c r="F194" s="158" t="s">
        <v>91</v>
      </c>
      <c r="G194" s="45"/>
    </row>
    <row r="195" spans="1:7" s="46" customFormat="1" ht="30" customHeight="1" thickBot="1">
      <c r="A195" s="77" t="s">
        <v>4</v>
      </c>
      <c r="B195" s="160" t="s">
        <v>38</v>
      </c>
      <c r="C195" s="159"/>
      <c r="D195" s="77" t="s">
        <v>12</v>
      </c>
      <c r="E195" s="247" t="s">
        <v>13</v>
      </c>
      <c r="F195" s="248"/>
      <c r="G195" s="45"/>
    </row>
    <row r="196" spans="1:7" s="51" customFormat="1" ht="81">
      <c r="A196" s="47" t="s">
        <v>58</v>
      </c>
      <c r="B196" s="48">
        <v>33</v>
      </c>
      <c r="C196" s="151" t="str">
        <f xml:space="preserve"> IF(B196="","",setValueToTime(B196))</f>
        <v>2h45min</v>
      </c>
      <c r="D196" s="165" t="s">
        <v>102</v>
      </c>
      <c r="E196" s="243"/>
      <c r="F196" s="244"/>
      <c r="G196" s="50"/>
    </row>
    <row r="197" spans="1:7" s="51" customFormat="1">
      <c r="A197" s="52" t="s">
        <v>15</v>
      </c>
      <c r="B197" s="53">
        <v>3</v>
      </c>
      <c r="C197" s="152" t="str">
        <f t="shared" ref="C197:C203" si="16" xml:space="preserve"> IF(B197="","",setValueToTime(B197))</f>
        <v>0h15min</v>
      </c>
      <c r="D197" s="166" t="s">
        <v>103</v>
      </c>
      <c r="E197" s="235"/>
      <c r="F197" s="236"/>
      <c r="G197" s="50"/>
    </row>
    <row r="198" spans="1:7" s="51" customFormat="1">
      <c r="A198" s="52"/>
      <c r="B198" s="53"/>
      <c r="C198" s="152" t="str">
        <f t="shared" si="16"/>
        <v/>
      </c>
      <c r="D198" s="54"/>
      <c r="E198" s="235"/>
      <c r="F198" s="236"/>
      <c r="G198" s="50"/>
    </row>
    <row r="199" spans="1:7" s="51" customFormat="1">
      <c r="A199" s="52"/>
      <c r="B199" s="53"/>
      <c r="C199" s="152" t="str">
        <f t="shared" si="16"/>
        <v/>
      </c>
      <c r="D199" s="54"/>
      <c r="E199" s="235"/>
      <c r="F199" s="236"/>
      <c r="G199" s="50"/>
    </row>
    <row r="200" spans="1:7" s="51" customFormat="1">
      <c r="A200" s="53"/>
      <c r="B200" s="53"/>
      <c r="C200" s="153" t="str">
        <f t="shared" si="16"/>
        <v/>
      </c>
      <c r="D200" s="54"/>
      <c r="E200" s="235"/>
      <c r="F200" s="236"/>
      <c r="G200" s="50"/>
    </row>
    <row r="201" spans="1:7" s="51" customFormat="1">
      <c r="A201" s="53"/>
      <c r="B201" s="53"/>
      <c r="C201" s="153" t="str">
        <f t="shared" si="16"/>
        <v/>
      </c>
      <c r="D201" s="54"/>
      <c r="E201" s="235"/>
      <c r="F201" s="236"/>
      <c r="G201" s="50"/>
    </row>
    <row r="202" spans="1:7" s="51" customFormat="1">
      <c r="A202" s="53"/>
      <c r="B202" s="53"/>
      <c r="C202" s="153" t="str">
        <f t="shared" si="16"/>
        <v/>
      </c>
      <c r="D202" s="54"/>
      <c r="E202" s="235"/>
      <c r="F202" s="236"/>
      <c r="G202" s="50"/>
    </row>
    <row r="203" spans="1:7" s="51" customFormat="1" ht="15" thickBot="1">
      <c r="A203" s="55"/>
      <c r="B203" s="55"/>
      <c r="C203" s="154" t="str">
        <f t="shared" si="16"/>
        <v/>
      </c>
      <c r="D203" s="56"/>
      <c r="E203" s="237"/>
      <c r="F203" s="238"/>
      <c r="G203" s="50"/>
    </row>
    <row r="204" spans="1:7" s="51" customFormat="1" ht="15" thickBot="1">
      <c r="A204" s="161" t="s">
        <v>27</v>
      </c>
      <c r="B204" s="82">
        <f>SUM(B196:B203)</f>
        <v>36</v>
      </c>
      <c r="C204" s="161" t="str">
        <f xml:space="preserve"> setValueToTime(B204)</f>
        <v>3h</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3</v>
      </c>
      <c r="C206" s="163"/>
      <c r="D206" s="156" t="s">
        <v>14</v>
      </c>
      <c r="E206" s="157" t="s">
        <v>97</v>
      </c>
      <c r="F206" s="158" t="s">
        <v>86</v>
      </c>
      <c r="G206" s="45"/>
    </row>
    <row r="207" spans="1:7" s="46" customFormat="1" ht="30" customHeight="1" thickBot="1">
      <c r="A207" s="77" t="s">
        <v>4</v>
      </c>
      <c r="B207" s="160" t="s">
        <v>38</v>
      </c>
      <c r="C207" s="159"/>
      <c r="D207" s="77" t="s">
        <v>12</v>
      </c>
      <c r="E207" s="247" t="s">
        <v>13</v>
      </c>
      <c r="F207" s="248"/>
      <c r="G207" s="45"/>
    </row>
    <row r="208" spans="1:7" s="51" customFormat="1">
      <c r="A208" s="47" t="s">
        <v>56</v>
      </c>
      <c r="B208" s="48">
        <v>3</v>
      </c>
      <c r="C208" s="151" t="str">
        <f xml:space="preserve"> IF(B208="","",setValueToTime(B208))</f>
        <v>0h15min</v>
      </c>
      <c r="D208" s="165" t="s">
        <v>98</v>
      </c>
      <c r="E208" s="243"/>
      <c r="F208" s="244"/>
      <c r="G208" s="50"/>
    </row>
    <row r="209" spans="1:7" s="51" customFormat="1">
      <c r="A209" s="52" t="s">
        <v>50</v>
      </c>
      <c r="B209" s="53">
        <v>15</v>
      </c>
      <c r="C209" s="152" t="str">
        <f t="shared" ref="C209:C215" si="17" xml:space="preserve"> IF(B209="","",setValueToTime(B209))</f>
        <v>1h15min</v>
      </c>
      <c r="D209" s="166" t="s">
        <v>99</v>
      </c>
      <c r="E209" s="235"/>
      <c r="F209" s="236"/>
      <c r="G209" s="50"/>
    </row>
    <row r="210" spans="1:7" s="51" customFormat="1" ht="27">
      <c r="A210" s="52" t="s">
        <v>52</v>
      </c>
      <c r="B210" s="53">
        <v>6</v>
      </c>
      <c r="C210" s="152" t="str">
        <f t="shared" si="17"/>
        <v>0h30min</v>
      </c>
      <c r="D210" s="166" t="s">
        <v>100</v>
      </c>
      <c r="E210" s="235"/>
      <c r="F210" s="236"/>
      <c r="G210" s="50"/>
    </row>
    <row r="211" spans="1:7" s="51" customFormat="1" ht="67.5">
      <c r="A211" s="52" t="s">
        <v>58</v>
      </c>
      <c r="B211" s="53">
        <v>12</v>
      </c>
      <c r="C211" s="152" t="str">
        <f t="shared" si="17"/>
        <v>1h</v>
      </c>
      <c r="D211" s="166" t="s">
        <v>101</v>
      </c>
      <c r="E211" s="235"/>
      <c r="F211" s="236"/>
      <c r="G211" s="50"/>
    </row>
    <row r="212" spans="1:7" s="51" customFormat="1">
      <c r="A212" s="53"/>
      <c r="B212" s="53"/>
      <c r="C212" s="153" t="str">
        <f t="shared" si="17"/>
        <v/>
      </c>
      <c r="D212" s="54"/>
      <c r="E212" s="235"/>
      <c r="F212" s="236"/>
      <c r="G212" s="50"/>
    </row>
    <row r="213" spans="1:7" s="51" customFormat="1">
      <c r="A213" s="53"/>
      <c r="B213" s="53"/>
      <c r="C213" s="153" t="str">
        <f t="shared" si="17"/>
        <v/>
      </c>
      <c r="D213" s="54"/>
      <c r="E213" s="235"/>
      <c r="F213" s="236"/>
      <c r="G213" s="50"/>
    </row>
    <row r="214" spans="1:7" s="51" customFormat="1">
      <c r="A214" s="53"/>
      <c r="B214" s="53"/>
      <c r="C214" s="153" t="str">
        <f t="shared" si="17"/>
        <v/>
      </c>
      <c r="D214" s="54"/>
      <c r="E214" s="235"/>
      <c r="F214" s="236"/>
      <c r="G214" s="50"/>
    </row>
    <row r="215" spans="1:7" s="51" customFormat="1" ht="15" thickBot="1">
      <c r="A215" s="55"/>
      <c r="B215" s="55"/>
      <c r="C215" s="154" t="str">
        <f t="shared" si="17"/>
        <v/>
      </c>
      <c r="D215" s="56"/>
      <c r="E215" s="237"/>
      <c r="F215" s="238"/>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2</v>
      </c>
      <c r="C218" s="163"/>
      <c r="D218" s="156" t="s">
        <v>14</v>
      </c>
      <c r="E218" s="157" t="s">
        <v>71</v>
      </c>
      <c r="F218" s="158" t="s">
        <v>75</v>
      </c>
      <c r="G218" s="45"/>
    </row>
    <row r="219" spans="1:7" s="46" customFormat="1" ht="30" customHeight="1" thickBot="1">
      <c r="A219" s="77" t="s">
        <v>4</v>
      </c>
      <c r="B219" s="160" t="s">
        <v>38</v>
      </c>
      <c r="C219" s="159"/>
      <c r="D219" s="77" t="s">
        <v>12</v>
      </c>
      <c r="E219" s="247" t="s">
        <v>13</v>
      </c>
      <c r="F219" s="248"/>
      <c r="G219" s="45"/>
    </row>
    <row r="220" spans="1:7" s="51" customFormat="1" ht="67.5">
      <c r="A220" s="47" t="s">
        <v>58</v>
      </c>
      <c r="B220" s="48">
        <v>33</v>
      </c>
      <c r="C220" s="151" t="str">
        <f xml:space="preserve"> IF(B220="","",setValueToTime(B220))</f>
        <v>2h45min</v>
      </c>
      <c r="D220" s="165" t="s">
        <v>84</v>
      </c>
      <c r="E220" s="243"/>
      <c r="F220" s="244"/>
      <c r="G220" s="50"/>
    </row>
    <row r="221" spans="1:7" s="51" customFormat="1">
      <c r="A221" s="52" t="s">
        <v>15</v>
      </c>
      <c r="B221" s="53">
        <v>3</v>
      </c>
      <c r="C221" s="152" t="str">
        <f t="shared" ref="C221:C227" si="18" xml:space="preserve"> IF(B221="","",setValueToTime(B221))</f>
        <v>0h15min</v>
      </c>
      <c r="D221" s="166" t="s">
        <v>85</v>
      </c>
      <c r="E221" s="235"/>
      <c r="F221" s="236"/>
      <c r="G221" s="50"/>
    </row>
    <row r="222" spans="1:7" s="51" customFormat="1">
      <c r="A222" s="52"/>
      <c r="B222" s="53"/>
      <c r="C222" s="152" t="str">
        <f t="shared" si="18"/>
        <v/>
      </c>
      <c r="D222" s="54"/>
      <c r="E222" s="235"/>
      <c r="F222" s="236"/>
      <c r="G222" s="50"/>
    </row>
    <row r="223" spans="1:7" s="51" customFormat="1">
      <c r="A223" s="52"/>
      <c r="B223" s="53"/>
      <c r="C223" s="152" t="str">
        <f t="shared" si="18"/>
        <v/>
      </c>
      <c r="D223" s="54"/>
      <c r="E223" s="235"/>
      <c r="F223" s="236"/>
      <c r="G223" s="50"/>
    </row>
    <row r="224" spans="1:7" s="51" customFormat="1">
      <c r="A224" s="53"/>
      <c r="B224" s="53"/>
      <c r="C224" s="153" t="str">
        <f t="shared" si="18"/>
        <v/>
      </c>
      <c r="D224" s="54"/>
      <c r="E224" s="235"/>
      <c r="F224" s="236"/>
      <c r="G224" s="50"/>
    </row>
    <row r="225" spans="1:7" s="51" customFormat="1">
      <c r="A225" s="53"/>
      <c r="B225" s="53"/>
      <c r="C225" s="153" t="str">
        <f t="shared" si="18"/>
        <v/>
      </c>
      <c r="D225" s="54"/>
      <c r="E225" s="235"/>
      <c r="F225" s="236"/>
      <c r="G225" s="50"/>
    </row>
    <row r="226" spans="1:7" s="51" customFormat="1">
      <c r="A226" s="53"/>
      <c r="B226" s="53"/>
      <c r="C226" s="153" t="str">
        <f t="shared" si="18"/>
        <v/>
      </c>
      <c r="D226" s="54"/>
      <c r="E226" s="235"/>
      <c r="F226" s="236"/>
      <c r="G226" s="50"/>
    </row>
    <row r="227" spans="1:7" s="51" customFormat="1" ht="15" thickBot="1">
      <c r="A227" s="55"/>
      <c r="B227" s="55"/>
      <c r="C227" s="154" t="str">
        <f t="shared" si="18"/>
        <v/>
      </c>
      <c r="D227" s="56"/>
      <c r="E227" s="237"/>
      <c r="F227" s="238"/>
      <c r="G227" s="50"/>
    </row>
    <row r="228" spans="1:7" s="51" customFormat="1" ht="15" thickBot="1">
      <c r="A228" s="161" t="s">
        <v>27</v>
      </c>
      <c r="B228" s="82">
        <f>SUM(B220:B227)</f>
        <v>36</v>
      </c>
      <c r="C228" s="161" t="str">
        <f xml:space="preserve"> setValueToTime(B228)</f>
        <v>3h</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1</v>
      </c>
      <c r="C230" s="163"/>
      <c r="D230" s="156" t="s">
        <v>14</v>
      </c>
      <c r="E230" s="157" t="s">
        <v>71</v>
      </c>
      <c r="F230" s="158" t="s">
        <v>74</v>
      </c>
      <c r="G230" s="45"/>
    </row>
    <row r="231" spans="1:7" s="46" customFormat="1" ht="30" customHeight="1" thickBot="1">
      <c r="A231" s="77" t="s">
        <v>4</v>
      </c>
      <c r="B231" s="160" t="s">
        <v>38</v>
      </c>
      <c r="C231" s="159"/>
      <c r="D231" s="77" t="s">
        <v>12</v>
      </c>
      <c r="E231" s="247" t="s">
        <v>13</v>
      </c>
      <c r="F231" s="248"/>
      <c r="G231" s="45"/>
    </row>
    <row r="232" spans="1:7" s="51" customFormat="1">
      <c r="A232" s="47" t="s">
        <v>51</v>
      </c>
      <c r="B232" s="48">
        <v>12</v>
      </c>
      <c r="C232" s="151" t="str">
        <f xml:space="preserve"> IF(B232="","",setValueToTime(B232))</f>
        <v>1h</v>
      </c>
      <c r="D232" s="165" t="s">
        <v>79</v>
      </c>
      <c r="E232" s="243"/>
      <c r="F232" s="244"/>
      <c r="G232" s="50"/>
    </row>
    <row r="233" spans="1:7" s="51" customFormat="1">
      <c r="A233" s="52" t="s">
        <v>56</v>
      </c>
      <c r="B233" s="53">
        <v>9</v>
      </c>
      <c r="C233" s="152" t="str">
        <f t="shared" ref="C233:C239" si="19" xml:space="preserve"> IF(B233="","",setValueToTime(B233))</f>
        <v>0h45min</v>
      </c>
      <c r="D233" s="166" t="s">
        <v>69</v>
      </c>
      <c r="E233" s="235"/>
      <c r="F233" s="236"/>
      <c r="G233" s="50"/>
    </row>
    <row r="234" spans="1:7" s="51" customFormat="1" ht="27">
      <c r="A234" s="52" t="s">
        <v>64</v>
      </c>
      <c r="B234" s="53">
        <v>9</v>
      </c>
      <c r="C234" s="152" t="str">
        <f t="shared" si="19"/>
        <v>0h45min</v>
      </c>
      <c r="D234" s="166" t="s">
        <v>81</v>
      </c>
      <c r="E234" s="249" t="s">
        <v>80</v>
      </c>
      <c r="F234" s="236"/>
      <c r="G234" s="50"/>
    </row>
    <row r="235" spans="1:7" s="51" customFormat="1" ht="27">
      <c r="A235" s="52" t="s">
        <v>65</v>
      </c>
      <c r="B235" s="53">
        <v>3</v>
      </c>
      <c r="C235" s="152" t="str">
        <f t="shared" si="19"/>
        <v>0h15min</v>
      </c>
      <c r="D235" s="166" t="s">
        <v>82</v>
      </c>
      <c r="E235" s="235"/>
      <c r="F235" s="236"/>
      <c r="G235" s="50"/>
    </row>
    <row r="236" spans="1:7" s="51" customFormat="1" ht="40.5">
      <c r="A236" s="53" t="s">
        <v>58</v>
      </c>
      <c r="B236" s="53">
        <v>18</v>
      </c>
      <c r="C236" s="153" t="str">
        <f t="shared" si="19"/>
        <v>1h30min</v>
      </c>
      <c r="D236" s="166" t="s">
        <v>83</v>
      </c>
      <c r="E236" s="235"/>
      <c r="F236" s="236"/>
      <c r="G236" s="50"/>
    </row>
    <row r="237" spans="1:7" s="51" customFormat="1">
      <c r="A237" s="53"/>
      <c r="B237" s="53"/>
      <c r="C237" s="153" t="str">
        <f t="shared" si="19"/>
        <v/>
      </c>
      <c r="D237" s="54"/>
      <c r="E237" s="235"/>
      <c r="F237" s="236"/>
      <c r="G237" s="50"/>
    </row>
    <row r="238" spans="1:7" s="51" customFormat="1">
      <c r="A238" s="53"/>
      <c r="B238" s="53"/>
      <c r="C238" s="153" t="str">
        <f t="shared" si="19"/>
        <v/>
      </c>
      <c r="D238" s="54"/>
      <c r="E238" s="235"/>
      <c r="F238" s="236"/>
      <c r="G238" s="50"/>
    </row>
    <row r="239" spans="1:7" s="51" customFormat="1" ht="15" thickBot="1">
      <c r="A239" s="55"/>
      <c r="B239" s="55"/>
      <c r="C239" s="154" t="str">
        <f t="shared" si="19"/>
        <v/>
      </c>
      <c r="D239" s="56"/>
      <c r="E239" s="237"/>
      <c r="F239" s="238"/>
      <c r="G239" s="50"/>
    </row>
    <row r="240" spans="1:7" s="51" customFormat="1" ht="27.75" thickBot="1">
      <c r="A240" s="161" t="s">
        <v>27</v>
      </c>
      <c r="B240" s="82">
        <f>SUM(B232:B239)</f>
        <v>51</v>
      </c>
      <c r="C240" s="161" t="str">
        <f xml:space="preserve"> setValueToTime(B240)</f>
        <v>4h15min</v>
      </c>
      <c r="D240" s="120"/>
      <c r="E240" s="245"/>
      <c r="F240" s="246"/>
      <c r="G240" s="50"/>
    </row>
    <row r="241" spans="1:7" s="58" customFormat="1">
      <c r="A241" s="76"/>
      <c r="B241" s="76"/>
      <c r="C241" s="76"/>
      <c r="D241" s="76"/>
      <c r="E241" s="76"/>
      <c r="F241" s="76"/>
      <c r="G241" s="57"/>
    </row>
  </sheetData>
  <sheetProtection formatRows="0" insertRows="0" insertHyperlinks="0" deleteRows="0" selectLockedCells="1"/>
  <mergeCells count="20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32:F132"/>
    <mergeCell ref="E99:F99"/>
    <mergeCell ref="E100:F100"/>
    <mergeCell ref="E101:F101"/>
    <mergeCell ref="E102:F102"/>
    <mergeCell ref="E103:F103"/>
    <mergeCell ref="E104:F104"/>
    <mergeCell ref="E105:F105"/>
    <mergeCell ref="E106:F106"/>
    <mergeCell ref="E107:F107"/>
    <mergeCell ref="E108:F108"/>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71:F171"/>
    <mergeCell ref="E172:F172"/>
    <mergeCell ref="E173:F173"/>
    <mergeCell ref="E174:F174"/>
    <mergeCell ref="E175:F175"/>
    <mergeCell ref="E176:F176"/>
    <mergeCell ref="E177:F177"/>
    <mergeCell ref="E178:F178"/>
    <mergeCell ref="E179:F179"/>
    <mergeCell ref="E160:F160"/>
    <mergeCell ref="E161:F161"/>
    <mergeCell ref="E162:F162"/>
    <mergeCell ref="E163:F163"/>
    <mergeCell ref="E164:F164"/>
    <mergeCell ref="E165:F165"/>
    <mergeCell ref="E166:F166"/>
    <mergeCell ref="E167:F167"/>
    <mergeCell ref="E168:F168"/>
    <mergeCell ref="E208:F208"/>
    <mergeCell ref="E240:F240"/>
    <mergeCell ref="E219:F219"/>
    <mergeCell ref="E220:F220"/>
    <mergeCell ref="E221:F221"/>
    <mergeCell ref="E222:F222"/>
    <mergeCell ref="E223:F223"/>
    <mergeCell ref="E224:F224"/>
    <mergeCell ref="E231:F231"/>
    <mergeCell ref="E232:F232"/>
    <mergeCell ref="E233:F233"/>
    <mergeCell ref="E234:F234"/>
    <mergeCell ref="E235:F235"/>
    <mergeCell ref="E236:F236"/>
    <mergeCell ref="E228:F228"/>
    <mergeCell ref="E237:F237"/>
    <mergeCell ref="E239:F239"/>
    <mergeCell ref="E225:F225"/>
    <mergeCell ref="E226:F226"/>
    <mergeCell ref="E227:F227"/>
    <mergeCell ref="E212:F212"/>
    <mergeCell ref="E213:F213"/>
    <mergeCell ref="E214:F214"/>
    <mergeCell ref="E215:F215"/>
    <mergeCell ref="E216:F216"/>
    <mergeCell ref="E238:F238"/>
    <mergeCell ref="E209:F209"/>
    <mergeCell ref="E210:F210"/>
    <mergeCell ref="E211:F211"/>
    <mergeCell ref="E111:F111"/>
    <mergeCell ref="E112:F112"/>
    <mergeCell ref="E113:F113"/>
    <mergeCell ref="E114:F114"/>
    <mergeCell ref="E115:F115"/>
    <mergeCell ref="E116:F116"/>
    <mergeCell ref="E117:F117"/>
    <mergeCell ref="E118:F118"/>
    <mergeCell ref="E119:F119"/>
    <mergeCell ref="E120:F120"/>
    <mergeCell ref="E195:F195"/>
    <mergeCell ref="E196:F196"/>
    <mergeCell ref="E197:F197"/>
    <mergeCell ref="E198:F198"/>
    <mergeCell ref="E199:F199"/>
    <mergeCell ref="E200:F200"/>
    <mergeCell ref="E201:F201"/>
    <mergeCell ref="E202:F202"/>
    <mergeCell ref="E203:F203"/>
    <mergeCell ref="E204:F204"/>
    <mergeCell ref="E207:F207"/>
    <mergeCell ref="E87:F87"/>
    <mergeCell ref="E88:F88"/>
    <mergeCell ref="E89:F89"/>
    <mergeCell ref="E90:F90"/>
    <mergeCell ref="E91:F91"/>
    <mergeCell ref="E92:F92"/>
    <mergeCell ref="E93:F93"/>
    <mergeCell ref="E94:F94"/>
    <mergeCell ref="E95:F95"/>
    <mergeCell ref="E96:F96"/>
    <mergeCell ref="E191:F191"/>
    <mergeCell ref="E192:F192"/>
    <mergeCell ref="E183:F183"/>
    <mergeCell ref="E184:F184"/>
    <mergeCell ref="E185:F185"/>
    <mergeCell ref="E186:F186"/>
    <mergeCell ref="E187:F187"/>
    <mergeCell ref="E188:F188"/>
    <mergeCell ref="E189:F189"/>
    <mergeCell ref="E190:F190"/>
    <mergeCell ref="E180:F180"/>
    <mergeCell ref="E159:F159"/>
    <mergeCell ref="E60:F60"/>
    <mergeCell ref="E51:F51"/>
    <mergeCell ref="E52:F52"/>
    <mergeCell ref="E53:F53"/>
    <mergeCell ref="E54:F54"/>
    <mergeCell ref="E55:F55"/>
    <mergeCell ref="E56:F56"/>
    <mergeCell ref="E57:F57"/>
    <mergeCell ref="E58:F58"/>
    <mergeCell ref="E59:F59"/>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s>
  <phoneticPr fontId="0" type="noConversion"/>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0 B228 B216 B204 B192 B180 B168 B156 B144 B132 B120 B108 B96 B84 B72 B60 B48 B36 B24 B12">
      <formula1>0</formula1>
      <formula2>60</formula2>
    </dataValidation>
    <dataValidation type="list" allowBlank="1" showInputMessage="1" showErrorMessage="1" sqref="A232:A239 A220:A227 A208:A215 A196:A203 A184:A191 A172:A179 A160:A167 A148:A155 A136:A143 A124:A131 A112:A119 A100:A107 A88:A95 A76:A83 A64:A71 A52:A59 A40:A47 A28:A35 A16:A23 A4:A11">
      <formula1>ListeTaches</formula1>
    </dataValidation>
  </dataValidations>
  <hyperlinks>
    <hyperlink ref="E234"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41" t="s">
        <v>13</v>
      </c>
      <c r="F2" s="242"/>
      <c r="G2" s="45"/>
    </row>
    <row r="3" spans="1:7" s="51" customFormat="1">
      <c r="A3" s="47"/>
      <c r="B3" s="48"/>
      <c r="C3" s="151" t="str">
        <f xml:space="preserve"> IF(B3="","",setValueToTime(B3))</f>
        <v/>
      </c>
      <c r="D3" s="49"/>
      <c r="E3" s="243"/>
      <c r="F3" s="244"/>
      <c r="G3" s="50"/>
    </row>
    <row r="4" spans="1:7" s="51" customFormat="1">
      <c r="A4" s="52"/>
      <c r="B4" s="53"/>
      <c r="C4" s="152" t="str">
        <f t="shared" ref="C4:C10" si="0" xml:space="preserve"> IF(B4="","",setValueToTime(B4))</f>
        <v/>
      </c>
      <c r="D4" s="54"/>
      <c r="E4" s="235"/>
      <c r="F4" s="236"/>
      <c r="G4" s="50"/>
    </row>
    <row r="5" spans="1:7" s="51" customFormat="1">
      <c r="A5" s="52"/>
      <c r="B5" s="53"/>
      <c r="C5" s="152" t="str">
        <f t="shared" si="0"/>
        <v/>
      </c>
      <c r="D5" s="54"/>
      <c r="E5" s="235"/>
      <c r="F5" s="236"/>
      <c r="G5" s="50"/>
    </row>
    <row r="6" spans="1:7" s="51" customFormat="1">
      <c r="A6" s="52"/>
      <c r="B6" s="53"/>
      <c r="C6" s="152" t="str">
        <f t="shared" si="0"/>
        <v/>
      </c>
      <c r="D6" s="54"/>
      <c r="E6" s="235"/>
      <c r="F6" s="236"/>
      <c r="G6" s="50"/>
    </row>
    <row r="7" spans="1:7" s="51" customFormat="1">
      <c r="A7" s="53"/>
      <c r="B7" s="53"/>
      <c r="C7" s="153" t="str">
        <f t="shared" si="0"/>
        <v/>
      </c>
      <c r="D7" s="54"/>
      <c r="E7" s="235"/>
      <c r="F7" s="236"/>
      <c r="G7" s="50"/>
    </row>
    <row r="8" spans="1:7" s="51" customFormat="1">
      <c r="A8" s="53"/>
      <c r="B8" s="53"/>
      <c r="C8" s="153" t="str">
        <f t="shared" si="0"/>
        <v/>
      </c>
      <c r="D8" s="54"/>
      <c r="E8" s="235"/>
      <c r="F8" s="236"/>
      <c r="G8" s="50"/>
    </row>
    <row r="9" spans="1:7" s="51" customFormat="1">
      <c r="A9" s="53"/>
      <c r="B9" s="53"/>
      <c r="C9" s="153" t="str">
        <f t="shared" si="0"/>
        <v/>
      </c>
      <c r="D9" s="54"/>
      <c r="E9" s="235"/>
      <c r="F9" s="236"/>
      <c r="G9" s="50"/>
    </row>
    <row r="10" spans="1:7" s="51" customFormat="1" ht="15" thickBot="1">
      <c r="A10" s="55"/>
      <c r="B10" s="55"/>
      <c r="C10" s="154" t="str">
        <f t="shared" si="0"/>
        <v/>
      </c>
      <c r="D10" s="56"/>
      <c r="E10" s="237"/>
      <c r="F10" s="238"/>
      <c r="G10" s="50"/>
    </row>
    <row r="11" spans="1:7" s="51" customFormat="1" ht="15" thickBot="1">
      <c r="A11" s="110" t="s">
        <v>27</v>
      </c>
      <c r="B11" s="83">
        <f>SUM(B3:B10)</f>
        <v>0</v>
      </c>
      <c r="C11" s="110" t="str">
        <f xml:space="preserve"> setValueToTime(B11)</f>
        <v>0h</v>
      </c>
      <c r="D11" s="119"/>
      <c r="E11" s="239"/>
      <c r="F11" s="240"/>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43"/>
      <c r="F3" s="244"/>
      <c r="G3" s="50"/>
    </row>
    <row r="4" spans="1:7" s="51" customFormat="1">
      <c r="A4" s="52"/>
      <c r="B4" s="53"/>
      <c r="C4" s="152" t="str">
        <f t="shared" ref="C4:C10" si="0" xml:space="preserve"> IF(B4="","",setValueToTime(B4))</f>
        <v/>
      </c>
      <c r="D4" s="54"/>
      <c r="E4" s="235"/>
      <c r="F4" s="236"/>
      <c r="G4" s="50"/>
    </row>
    <row r="5" spans="1:7" s="51" customFormat="1">
      <c r="A5" s="52"/>
      <c r="B5" s="53"/>
      <c r="C5" s="152" t="str">
        <f t="shared" si="0"/>
        <v/>
      </c>
      <c r="D5" s="54"/>
      <c r="E5" s="235"/>
      <c r="F5" s="236"/>
      <c r="G5" s="50"/>
    </row>
    <row r="6" spans="1:7" s="51" customFormat="1">
      <c r="A6" s="52"/>
      <c r="B6" s="53"/>
      <c r="C6" s="152" t="str">
        <f t="shared" si="0"/>
        <v/>
      </c>
      <c r="D6" s="54"/>
      <c r="E6" s="235"/>
      <c r="F6" s="236"/>
      <c r="G6" s="50"/>
    </row>
    <row r="7" spans="1:7" s="51" customFormat="1">
      <c r="A7" s="53"/>
      <c r="B7" s="53"/>
      <c r="C7" s="153" t="str">
        <f t="shared" si="0"/>
        <v/>
      </c>
      <c r="D7" s="54"/>
      <c r="E7" s="235"/>
      <c r="F7" s="236"/>
      <c r="G7" s="50"/>
    </row>
    <row r="8" spans="1:7" s="51" customFormat="1">
      <c r="A8" s="53"/>
      <c r="B8" s="53"/>
      <c r="C8" s="153" t="str">
        <f t="shared" si="0"/>
        <v/>
      </c>
      <c r="D8" s="54"/>
      <c r="E8" s="235"/>
      <c r="F8" s="236"/>
      <c r="G8" s="50"/>
    </row>
    <row r="9" spans="1:7" s="51" customFormat="1">
      <c r="A9" s="53"/>
      <c r="B9" s="53"/>
      <c r="C9" s="153" t="str">
        <f t="shared" si="0"/>
        <v/>
      </c>
      <c r="D9" s="54"/>
      <c r="E9" s="235"/>
      <c r="F9" s="236"/>
      <c r="G9" s="50"/>
    </row>
    <row r="10" spans="1:7" s="51" customFormat="1" ht="15" thickBot="1">
      <c r="A10" s="55"/>
      <c r="B10" s="55"/>
      <c r="C10" s="154" t="str">
        <f t="shared" si="0"/>
        <v/>
      </c>
      <c r="D10" s="56"/>
      <c r="E10" s="237"/>
      <c r="F10" s="238"/>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2021-02-12T15:12:26Z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